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_Compras_SOP" sheetId="1" state="visible" r:id="rId1"/>
    <sheet name="Auditoria_Forecast" sheetId="2" state="visible" r:id="rId2"/>
    <sheet name="Monitor_Caducidad_FE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0.00&quot;%&quot;"/>
    <numFmt numFmtId="167" formatCode="+0.00&quot;%&quot;;-0.00&quot;%&quot;;0.00&quot;%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3B66"/>
        <bgColor rgb="000D3B66"/>
      </patternFill>
    </fill>
    <fill>
      <patternFill patternType="solid">
        <fgColor rgb="00EAEBED"/>
        <bgColor rgb="00EAEBED"/>
      </patternFill>
    </fill>
    <fill>
      <patternFill patternType="solid">
        <fgColor rgb="001B4965"/>
        <bgColor rgb="001B4965"/>
      </patternFill>
    </fill>
    <fill>
      <patternFill patternType="solid">
        <fgColor rgb="00E63946"/>
        <bgColor rgb="00E6394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D3B66"/>
      </top>
      <bottom style="double">
        <color rgb="000D3B6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0" fontId="3" fillId="3" borderId="2" pivotButton="0" quotePrefix="0" xfId="0"/>
    <xf numFmtId="0" fontId="0" fillId="3" borderId="2" pivotButton="0" quotePrefix="0" xfId="0"/>
    <xf numFmtId="3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0" fontId="1" fillId="4" borderId="0" applyAlignment="1" pivotButton="0" quotePrefix="0" xfId="0">
      <alignment horizontal="center" vertical="center"/>
    </xf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4" customWidth="1" min="2" max="2"/>
    <col width="24" customWidth="1" min="3" max="3"/>
    <col width="13" customWidth="1" min="4" max="4"/>
    <col width="22" customWidth="1" min="5" max="5"/>
    <col width="18" customWidth="1" min="6" max="6"/>
    <col width="20" customWidth="1" min="7" max="7"/>
    <col width="15" customWidth="1" min="8" max="8"/>
    <col width="18" customWidth="1" min="9" max="9"/>
    <col width="16" customWidth="1" min="10" max="10"/>
    <col width="25" customWidth="1" min="11" max="11"/>
    <col width="20" customWidth="1" min="12" max="12"/>
    <col width="31" customWidth="1" min="13" max="13"/>
    <col width="19" customWidth="1" min="14" max="14"/>
    <col width="25" customWidth="1" min="15" max="15"/>
    <col width="31" customWidth="1" min="16" max="16"/>
    <col width="51" customWidth="1" min="17" max="17"/>
  </cols>
  <sheetData>
    <row r="1">
      <c r="A1" s="1" t="inlineStr">
        <is>
          <t>SKU</t>
        </is>
      </c>
      <c r="B1" s="1" t="inlineStr">
        <is>
          <t>Descripción Producto</t>
        </is>
      </c>
      <c r="C1" s="1" t="inlineStr">
        <is>
          <t>Categoría</t>
        </is>
      </c>
      <c r="D1" s="1" t="inlineStr">
        <is>
          <t>ABC</t>
        </is>
      </c>
      <c r="E1" s="1" t="inlineStr">
        <is>
          <t>Demanda 8 Sem (Fct)</t>
        </is>
      </c>
      <c r="F1" s="1" t="inlineStr">
        <is>
          <t>Stock CD (Disp)</t>
        </is>
      </c>
      <c r="G1" s="1" t="inlineStr">
        <is>
          <t>Tránsito Marítimo</t>
        </is>
      </c>
      <c r="H1" s="1" t="inlineStr">
        <is>
          <t>OCs Abiertas</t>
        </is>
      </c>
      <c r="I1" s="1" t="inlineStr">
        <is>
          <t>Stock Seg. (SS)</t>
        </is>
      </c>
      <c r="J1" s="1" t="inlineStr">
        <is>
          <t>Posición Neta</t>
        </is>
      </c>
      <c r="K1" s="1" t="inlineStr">
        <is>
          <t>Requerimiento Neto</t>
        </is>
      </c>
      <c r="L1" s="1" t="inlineStr">
        <is>
          <t>Lote Mínimo (MOQ)</t>
        </is>
      </c>
      <c r="M1" s="1" t="inlineStr">
        <is>
          <t>Orden Sugerida</t>
        </is>
      </c>
      <c r="N1" s="1" t="inlineStr">
        <is>
          <t>Costo Unit (CLP)</t>
        </is>
      </c>
      <c r="O1" s="1" t="inlineStr">
        <is>
          <t>Inversión Sugerida ($)</t>
        </is>
      </c>
      <c r="P1" s="1" t="inlineStr">
        <is>
          <t>Cobertura Semanas</t>
        </is>
      </c>
      <c r="Q1" s="1" t="inlineStr">
        <is>
          <t>Estatus S&amp;OP</t>
        </is>
      </c>
    </row>
    <row r="2">
      <c r="A2" s="2" t="inlineStr">
        <is>
          <t>FOD-SNK-CHTS-226</t>
        </is>
      </c>
      <c r="B2" s="2" t="inlineStr">
        <is>
          <t>Cheetos Flamin' Hot Crunchy USA 226g</t>
        </is>
      </c>
      <c r="C2" s="2" t="inlineStr">
        <is>
          <t>Snacks &amp; Salados</t>
        </is>
      </c>
      <c r="D2" s="3" t="inlineStr">
        <is>
          <t>A</t>
        </is>
      </c>
      <c r="E2" s="4" t="n">
        <v>55319</v>
      </c>
      <c r="F2" s="4" t="n">
        <v>3628</v>
      </c>
      <c r="G2" s="4" t="n">
        <v>3456</v>
      </c>
      <c r="H2" s="4" t="n">
        <v>0</v>
      </c>
      <c r="I2" s="4" t="n">
        <v>13741</v>
      </c>
      <c r="J2" s="4">
        <f>F2+G2+H2</f>
        <v/>
      </c>
      <c r="K2" s="4">
        <f>MAX(0, (E2+I2)-J2)</f>
        <v/>
      </c>
      <c r="L2" s="4" t="n">
        <v>1728</v>
      </c>
      <c r="M2" s="4">
        <f>IF(K2&gt;0, MAX(K2, L2), 0)</f>
        <v/>
      </c>
      <c r="N2" s="5" t="n">
        <v>2200</v>
      </c>
      <c r="O2" s="5">
        <f>M2*N2</f>
        <v/>
      </c>
      <c r="P2" s="6">
        <f>ROUND((J2+M2)/(E2/8), 1)</f>
        <v/>
      </c>
      <c r="Q2" s="7">
        <f>IF(K2&gt;0, "APROBAR COMPRA", "STOCK SUFICIENTE")</f>
        <v/>
      </c>
    </row>
    <row r="3">
      <c r="A3" s="2" t="inlineStr">
        <is>
          <t>FOD-SNK-CHTS-JAL</t>
        </is>
      </c>
      <c r="B3" s="2" t="inlineStr">
        <is>
          <t>Cheetos Crunchy Cheddar Jalapeño 226g</t>
        </is>
      </c>
      <c r="C3" s="2" t="inlineStr">
        <is>
          <t>Snacks &amp; Salados</t>
        </is>
      </c>
      <c r="D3" s="3" t="inlineStr">
        <is>
          <t>A</t>
        </is>
      </c>
      <c r="E3" s="4" t="n">
        <v>55792</v>
      </c>
      <c r="F3" s="4" t="n">
        <v>4320</v>
      </c>
      <c r="G3" s="4" t="n">
        <v>0</v>
      </c>
      <c r="H3" s="4" t="n">
        <v>0</v>
      </c>
      <c r="I3" s="4" t="n">
        <v>11951</v>
      </c>
      <c r="J3" s="4">
        <f>F3+G3+H3</f>
        <v/>
      </c>
      <c r="K3" s="4">
        <f>MAX(0, (E3+I3)-J3)</f>
        <v/>
      </c>
      <c r="L3" s="4" t="n">
        <v>1728</v>
      </c>
      <c r="M3" s="4">
        <f>IF(K3&gt;0, MAX(K3, L3), 0)</f>
        <v/>
      </c>
      <c r="N3" s="5" t="n">
        <v>2250</v>
      </c>
      <c r="O3" s="5">
        <f>M3*N3</f>
        <v/>
      </c>
      <c r="P3" s="6">
        <f>ROUND((J3+M3)/(E3/8), 1)</f>
        <v/>
      </c>
      <c r="Q3" s="7">
        <f>IF(K3&gt;0, "APROBAR COMPRA", "STOCK SUFICIENTE")</f>
        <v/>
      </c>
    </row>
    <row r="4">
      <c r="A4" s="2" t="inlineStr">
        <is>
          <t>FOD-SNK-DOR-CLR</t>
        </is>
      </c>
      <c r="B4" s="2" t="inlineStr">
        <is>
          <t>Doritos Cool Ranch Flavored Tortilla Chips 262g</t>
        </is>
      </c>
      <c r="C4" s="2" t="inlineStr">
        <is>
          <t>Snacks &amp; Salados</t>
        </is>
      </c>
      <c r="D4" s="3" t="inlineStr">
        <is>
          <t>A</t>
        </is>
      </c>
      <c r="E4" s="4" t="n">
        <v>51553</v>
      </c>
      <c r="F4" s="4" t="n">
        <v>2816</v>
      </c>
      <c r="G4" s="4" t="n">
        <v>0</v>
      </c>
      <c r="H4" s="4" t="n">
        <v>0</v>
      </c>
      <c r="I4" s="4" t="n">
        <v>12509</v>
      </c>
      <c r="J4" s="4">
        <f>F4+G4+H4</f>
        <v/>
      </c>
      <c r="K4" s="4">
        <f>MAX(0, (E4+I4)-J4)</f>
        <v/>
      </c>
      <c r="L4" s="4" t="n">
        <v>1280</v>
      </c>
      <c r="M4" s="4">
        <f>IF(K4&gt;0, MAX(K4, L4), 0)</f>
        <v/>
      </c>
      <c r="N4" s="5" t="n">
        <v>2400</v>
      </c>
      <c r="O4" s="5">
        <f>M4*N4</f>
        <v/>
      </c>
      <c r="P4" s="6">
        <f>ROUND((J4+M4)/(E4/8), 1)</f>
        <v/>
      </c>
      <c r="Q4" s="7">
        <f>IF(K4&gt;0, "APROBAR COMPRA", "STOCK SUFICIENTE")</f>
        <v/>
      </c>
    </row>
    <row r="5">
      <c r="A5" s="2" t="inlineStr">
        <is>
          <t>FOD-SNK-TAK-FUE</t>
        </is>
      </c>
      <c r="B5" s="2" t="inlineStr">
        <is>
          <t>Takis Fuego Hot Chili Pepper &amp; Lime 280g</t>
        </is>
      </c>
      <c r="C5" s="2" t="inlineStr">
        <is>
          <t>Snacks &amp; Salados</t>
        </is>
      </c>
      <c r="D5" s="3" t="inlineStr">
        <is>
          <t>A</t>
        </is>
      </c>
      <c r="E5" s="4" t="n">
        <v>47778</v>
      </c>
      <c r="F5" s="4" t="n">
        <v>3520</v>
      </c>
      <c r="G5" s="4" t="n">
        <v>3200</v>
      </c>
      <c r="H5" s="4" t="n">
        <v>0</v>
      </c>
      <c r="I5" s="4" t="n">
        <v>10615</v>
      </c>
      <c r="J5" s="4">
        <f>F5+G5+H5</f>
        <v/>
      </c>
      <c r="K5" s="4">
        <f>MAX(0, (E5+I5)-J5)</f>
        <v/>
      </c>
      <c r="L5" s="4" t="n">
        <v>1600</v>
      </c>
      <c r="M5" s="4">
        <f>IF(K5&gt;0, MAX(K5, L5), 0)</f>
        <v/>
      </c>
      <c r="N5" s="5" t="n">
        <v>2100</v>
      </c>
      <c r="O5" s="5">
        <f>M5*N5</f>
        <v/>
      </c>
      <c r="P5" s="6">
        <f>ROUND((J5+M5)/(E5/8), 1)</f>
        <v/>
      </c>
      <c r="Q5" s="7">
        <f>IF(K5&gt;0, "APROBAR COMPRA", "STOCK SUFICIENTE")</f>
        <v/>
      </c>
    </row>
    <row r="6">
      <c r="A6" s="2" t="inlineStr">
        <is>
          <t>FOD-SNK-PRG-SRC</t>
        </is>
      </c>
      <c r="B6" s="2" t="inlineStr">
        <is>
          <t>Pringles Sour Cream &amp; Onion USA 158g</t>
        </is>
      </c>
      <c r="C6" s="2" t="inlineStr">
        <is>
          <t>Snacks &amp; Salados</t>
        </is>
      </c>
      <c r="D6" s="3" t="inlineStr">
        <is>
          <t>A</t>
        </is>
      </c>
      <c r="E6" s="4" t="n">
        <v>59186</v>
      </c>
      <c r="F6" s="4" t="n">
        <v>2038</v>
      </c>
      <c r="G6" s="4" t="n">
        <v>3136</v>
      </c>
      <c r="H6" s="4" t="n">
        <v>0</v>
      </c>
      <c r="I6" s="4" t="n">
        <v>14745</v>
      </c>
      <c r="J6" s="4">
        <f>F6+G6+H6</f>
        <v/>
      </c>
      <c r="K6" s="4">
        <f>MAX(0, (E6+I6)-J6)</f>
        <v/>
      </c>
      <c r="L6" s="4" t="n">
        <v>1568</v>
      </c>
      <c r="M6" s="4">
        <f>IF(K6&gt;0, MAX(K6, L6), 0)</f>
        <v/>
      </c>
      <c r="N6" s="5" t="n">
        <v>1650</v>
      </c>
      <c r="O6" s="5">
        <f>M6*N6</f>
        <v/>
      </c>
      <c r="P6" s="6">
        <f>ROUND((J6+M6)/(E6/8), 1)</f>
        <v/>
      </c>
      <c r="Q6" s="7">
        <f>IF(K6&gt;0, "APROBAR COMPRA", "STOCK SUFICIENTE")</f>
        <v/>
      </c>
    </row>
    <row r="7">
      <c r="A7" s="2" t="inlineStr">
        <is>
          <t>FOD-SNK-PRG-PIZ</t>
        </is>
      </c>
      <c r="B7" s="2" t="inlineStr">
        <is>
          <t>Pringles Pizza Flavored Potato Crisps 158g</t>
        </is>
      </c>
      <c r="C7" s="2" t="inlineStr">
        <is>
          <t>Snacks &amp; Salados</t>
        </is>
      </c>
      <c r="D7" s="3" t="inlineStr">
        <is>
          <t>B</t>
        </is>
      </c>
      <c r="E7" s="4" t="n">
        <v>21022</v>
      </c>
      <c r="F7" s="4" t="n">
        <v>4076</v>
      </c>
      <c r="G7" s="4" t="n">
        <v>0</v>
      </c>
      <c r="H7" s="4" t="n">
        <v>0</v>
      </c>
      <c r="I7" s="4" t="n">
        <v>4248</v>
      </c>
      <c r="J7" s="4">
        <f>F7+G7+H7</f>
        <v/>
      </c>
      <c r="K7" s="4">
        <f>MAX(0, (E7+I7)-J7)</f>
        <v/>
      </c>
      <c r="L7" s="4" t="n">
        <v>784</v>
      </c>
      <c r="M7" s="4">
        <f>IF(K7&gt;0, MAX(K7, L7), 0)</f>
        <v/>
      </c>
      <c r="N7" s="5" t="n">
        <v>1650</v>
      </c>
      <c r="O7" s="5">
        <f>M7*N7</f>
        <v/>
      </c>
      <c r="P7" s="6">
        <f>ROUND((J7+M7)/(E7/8), 1)</f>
        <v/>
      </c>
      <c r="Q7" s="7">
        <f>IF(K7&gt;0, "APROBAR COMPRA", "STOCK SUFICIENTE")</f>
        <v/>
      </c>
    </row>
    <row r="8">
      <c r="A8" s="2" t="inlineStr">
        <is>
          <t>FOD-SNK-SNY-HNY</t>
        </is>
      </c>
      <c r="B8" s="2" t="inlineStr">
        <is>
          <t>Snyder's of Hanover Honey Mustard &amp; Onion Pretzel Pieces 240g</t>
        </is>
      </c>
      <c r="C8" s="2" t="inlineStr">
        <is>
          <t>Snacks &amp; Salados</t>
        </is>
      </c>
      <c r="D8" s="3" t="inlineStr">
        <is>
          <t>B</t>
        </is>
      </c>
      <c r="E8" s="4" t="n">
        <v>19722</v>
      </c>
      <c r="F8" s="4" t="n">
        <v>3532</v>
      </c>
      <c r="G8" s="4" t="n">
        <v>0</v>
      </c>
      <c r="H8" s="4" t="n">
        <v>0</v>
      </c>
      <c r="I8" s="4" t="n">
        <v>3819</v>
      </c>
      <c r="J8" s="4">
        <f>F8+G8+H8</f>
        <v/>
      </c>
      <c r="K8" s="4">
        <f>MAX(0, (E8+I8)-J8)</f>
        <v/>
      </c>
      <c r="L8" s="4" t="n">
        <v>768</v>
      </c>
      <c r="M8" s="4">
        <f>IF(K8&gt;0, MAX(K8, L8), 0)</f>
        <v/>
      </c>
      <c r="N8" s="5" t="n">
        <v>1950</v>
      </c>
      <c r="O8" s="5">
        <f>M8*N8</f>
        <v/>
      </c>
      <c r="P8" s="6">
        <f>ROUND((J8+M8)/(E8/8), 1)</f>
        <v/>
      </c>
      <c r="Q8" s="7">
        <f>IF(K8&gt;0, "APROBAR COMPRA", "STOCK SUFICIENTE")</f>
        <v/>
      </c>
    </row>
    <row r="9">
      <c r="A9" s="2" t="inlineStr">
        <is>
          <t>FOD-SNK-CMB-PIZ</t>
        </is>
      </c>
      <c r="B9" s="2" t="inlineStr">
        <is>
          <t>Combos Pizzeria Pretzel Baked Snacks 178g</t>
        </is>
      </c>
      <c r="C9" s="2" t="inlineStr">
        <is>
          <t>Snacks &amp; Salados</t>
        </is>
      </c>
      <c r="D9" s="3" t="inlineStr">
        <is>
          <t>B</t>
        </is>
      </c>
      <c r="E9" s="4" t="n">
        <v>18488</v>
      </c>
      <c r="F9" s="4" t="n">
        <v>6804</v>
      </c>
      <c r="G9" s="4" t="n">
        <v>0</v>
      </c>
      <c r="H9" s="4" t="n">
        <v>0</v>
      </c>
      <c r="I9" s="4" t="n">
        <v>3458</v>
      </c>
      <c r="J9" s="4">
        <f>F9+G9+H9</f>
        <v/>
      </c>
      <c r="K9" s="4">
        <f>MAX(0, (E9+I9)-J9)</f>
        <v/>
      </c>
      <c r="L9" s="4" t="n">
        <v>810</v>
      </c>
      <c r="M9" s="4">
        <f>IF(K9&gt;0, MAX(K9, L9), 0)</f>
        <v/>
      </c>
      <c r="N9" s="5" t="n">
        <v>1800</v>
      </c>
      <c r="O9" s="5">
        <f>M9*N9</f>
        <v/>
      </c>
      <c r="P9" s="6">
        <f>ROUND((J9+M9)/(E9/8), 1)</f>
        <v/>
      </c>
      <c r="Q9" s="7">
        <f>IF(K9&gt;0, "APROBAR COMPRA", "STOCK SUFICIENTE")</f>
        <v/>
      </c>
    </row>
    <row r="10">
      <c r="A10" s="2" t="inlineStr">
        <is>
          <t>FOD-BEV-DRPEP-355</t>
        </is>
      </c>
      <c r="B10" s="2" t="inlineStr">
        <is>
          <t>Dr Pepper Cherry Soda Lata 355ml</t>
        </is>
      </c>
      <c r="C10" s="2" t="inlineStr">
        <is>
          <t>Bebidas &amp; Energéticas</t>
        </is>
      </c>
      <c r="D10" s="3" t="inlineStr">
        <is>
          <t>A</t>
        </is>
      </c>
      <c r="E10" s="4" t="n">
        <v>56131</v>
      </c>
      <c r="F10" s="4" t="n">
        <v>7603</v>
      </c>
      <c r="G10" s="4" t="n">
        <v>6912</v>
      </c>
      <c r="H10" s="4" t="n">
        <v>0</v>
      </c>
      <c r="I10" s="4" t="n">
        <v>13951</v>
      </c>
      <c r="J10" s="4">
        <f>F10+G10+H10</f>
        <v/>
      </c>
      <c r="K10" s="4">
        <f>MAX(0, (E10+I10)-J10)</f>
        <v/>
      </c>
      <c r="L10" s="4" t="n">
        <v>3456</v>
      </c>
      <c r="M10" s="4">
        <f>IF(K10&gt;0, MAX(K10, L10), 0)</f>
        <v/>
      </c>
      <c r="N10" s="5" t="n">
        <v>950</v>
      </c>
      <c r="O10" s="5">
        <f>M10*N10</f>
        <v/>
      </c>
      <c r="P10" s="6">
        <f>ROUND((J10+M10)/(E10/8), 1)</f>
        <v/>
      </c>
      <c r="Q10" s="7">
        <f>IF(K10&gt;0, "APROBAR COMPRA", "STOCK SUFICIENTE")</f>
        <v/>
      </c>
    </row>
    <row r="11">
      <c r="A11" s="2" t="inlineStr">
        <is>
          <t>FOD-BEV-DRP-REG</t>
        </is>
      </c>
      <c r="B11" s="2" t="inlineStr">
        <is>
          <t>Dr Pepper Original 23 Flavors Lata 355ml</t>
        </is>
      </c>
      <c r="C11" s="2" t="inlineStr">
        <is>
          <t>Bebidas &amp; Energéticas</t>
        </is>
      </c>
      <c r="D11" s="3" t="inlineStr">
        <is>
          <t>A</t>
        </is>
      </c>
      <c r="E11" s="4" t="n">
        <v>56681</v>
      </c>
      <c r="F11" s="4" t="n">
        <v>5875</v>
      </c>
      <c r="G11" s="4" t="n">
        <v>0</v>
      </c>
      <c r="H11" s="4" t="n">
        <v>0</v>
      </c>
      <c r="I11" s="4" t="n">
        <v>13904</v>
      </c>
      <c r="J11" s="4">
        <f>F11+G11+H11</f>
        <v/>
      </c>
      <c r="K11" s="4">
        <f>MAX(0, (E11+I11)-J11)</f>
        <v/>
      </c>
      <c r="L11" s="4" t="n">
        <v>3456</v>
      </c>
      <c r="M11" s="4">
        <f>IF(K11&gt;0, MAX(K11, L11), 0)</f>
        <v/>
      </c>
      <c r="N11" s="5" t="n">
        <v>920</v>
      </c>
      <c r="O11" s="5">
        <f>M11*N11</f>
        <v/>
      </c>
      <c r="P11" s="6">
        <f>ROUND((J11+M11)/(E11/8), 1)</f>
        <v/>
      </c>
      <c r="Q11" s="7">
        <f>IF(K11&gt;0, "APROBAR COMPRA", "STOCK SUFICIENTE")</f>
        <v/>
      </c>
    </row>
    <row r="12">
      <c r="A12" s="2" t="inlineStr">
        <is>
          <t>FOD-BEV-MNST-PCH</t>
        </is>
      </c>
      <c r="B12" s="2" t="inlineStr">
        <is>
          <t>Monster Energy Ultra Peachy Keen 473ml</t>
        </is>
      </c>
      <c r="C12" s="2" t="inlineStr">
        <is>
          <t>Bebidas &amp; Energéticas</t>
        </is>
      </c>
      <c r="D12" s="3" t="inlineStr">
        <is>
          <t>A</t>
        </is>
      </c>
      <c r="E12" s="4" t="n">
        <v>52464</v>
      </c>
      <c r="F12" s="4" t="n">
        <v>6336</v>
      </c>
      <c r="G12" s="4" t="n">
        <v>0</v>
      </c>
      <c r="H12" s="4" t="n">
        <v>2880</v>
      </c>
      <c r="I12" s="4" t="n">
        <v>12363</v>
      </c>
      <c r="J12" s="4">
        <f>F12+G12+H12</f>
        <v/>
      </c>
      <c r="K12" s="4">
        <f>MAX(0, (E12+I12)-J12)</f>
        <v/>
      </c>
      <c r="L12" s="4" t="n">
        <v>2880</v>
      </c>
      <c r="M12" s="4">
        <f>IF(K12&gt;0, MAX(K12, L12), 0)</f>
        <v/>
      </c>
      <c r="N12" s="5" t="n">
        <v>1450</v>
      </c>
      <c r="O12" s="5">
        <f>M12*N12</f>
        <v/>
      </c>
      <c r="P12" s="6">
        <f>ROUND((J12+M12)/(E12/8), 1)</f>
        <v/>
      </c>
      <c r="Q12" s="7">
        <f>IF(K12&gt;0, "APROBAR COMPRA", "STOCK SUFICIENTE")</f>
        <v/>
      </c>
    </row>
    <row r="13">
      <c r="A13" s="2" t="inlineStr">
        <is>
          <t>FOD-BEV-MNST-AUS</t>
        </is>
      </c>
      <c r="B13" s="2" t="inlineStr">
        <is>
          <t>Monster Energy Aussie Style Lemonade 473ml</t>
        </is>
      </c>
      <c r="C13" s="2" t="inlineStr">
        <is>
          <t>Bebidas &amp; Energéticas</t>
        </is>
      </c>
      <c r="D13" s="3" t="inlineStr">
        <is>
          <t>A</t>
        </is>
      </c>
      <c r="E13" s="4" t="n">
        <v>52378</v>
      </c>
      <c r="F13" s="4" t="n">
        <v>6048</v>
      </c>
      <c r="G13" s="4" t="n">
        <v>0</v>
      </c>
      <c r="H13" s="4" t="n">
        <v>0</v>
      </c>
      <c r="I13" s="4" t="n">
        <v>13135</v>
      </c>
      <c r="J13" s="4">
        <f>F13+G13+H13</f>
        <v/>
      </c>
      <c r="K13" s="4">
        <f>MAX(0, (E13+I13)-J13)</f>
        <v/>
      </c>
      <c r="L13" s="4" t="n">
        <v>2880</v>
      </c>
      <c r="M13" s="4">
        <f>IF(K13&gt;0, MAX(K13, L13), 0)</f>
        <v/>
      </c>
      <c r="N13" s="5" t="n">
        <v>1450</v>
      </c>
      <c r="O13" s="5">
        <f>M13*N13</f>
        <v/>
      </c>
      <c r="P13" s="6">
        <f>ROUND((J13+M13)/(E13/8), 1)</f>
        <v/>
      </c>
      <c r="Q13" s="7">
        <f>IF(K13&gt;0, "APROBAR COMPRA", "STOCK SUFICIENTE")</f>
        <v/>
      </c>
    </row>
    <row r="14">
      <c r="A14" s="2" t="inlineStr">
        <is>
          <t>FOD-BEV-MTN-DEW</t>
        </is>
      </c>
      <c r="B14" s="2" t="inlineStr">
        <is>
          <t>Mountain Dew Real Sugar Citrus Soda 355ml</t>
        </is>
      </c>
      <c r="C14" s="2" t="inlineStr">
        <is>
          <t>Bebidas &amp; Energéticas</t>
        </is>
      </c>
      <c r="D14" s="3" t="inlineStr">
        <is>
          <t>B</t>
        </is>
      </c>
      <c r="E14" s="4" t="n">
        <v>20318</v>
      </c>
      <c r="F14" s="4" t="n">
        <v>10713</v>
      </c>
      <c r="G14" s="4" t="n">
        <v>0</v>
      </c>
      <c r="H14" s="4" t="n">
        <v>0</v>
      </c>
      <c r="I14" s="4" t="n">
        <v>4295</v>
      </c>
      <c r="J14" s="4">
        <f>F14+G14+H14</f>
        <v/>
      </c>
      <c r="K14" s="4">
        <f>MAX(0, (E14+I14)-J14)</f>
        <v/>
      </c>
      <c r="L14" s="4" t="n">
        <v>1728</v>
      </c>
      <c r="M14" s="4">
        <f>IF(K14&gt;0, MAX(K14, L14), 0)</f>
        <v/>
      </c>
      <c r="N14" s="5" t="n">
        <v>980</v>
      </c>
      <c r="O14" s="5">
        <f>M14*N14</f>
        <v/>
      </c>
      <c r="P14" s="6">
        <f>ROUND((J14+M14)/(E14/8), 1)</f>
        <v/>
      </c>
      <c r="Q14" s="7">
        <f>IF(K14&gt;0, "APROBAR COMPRA", "STOCK SUFICIENTE")</f>
        <v/>
      </c>
    </row>
    <row r="15">
      <c r="A15" s="2" t="inlineStr">
        <is>
          <t>FOD-BEV-AW-ROOT</t>
        </is>
      </c>
      <c r="B15" s="2" t="inlineStr">
        <is>
          <t>A&amp;W Root Beer Aged Vanilla Lata 355ml</t>
        </is>
      </c>
      <c r="C15" s="2" t="inlineStr">
        <is>
          <t>Bebidas &amp; Energéticas</t>
        </is>
      </c>
      <c r="D15" s="3" t="inlineStr">
        <is>
          <t>B</t>
        </is>
      </c>
      <c r="E15" s="4" t="n">
        <v>19981</v>
      </c>
      <c r="F15" s="4" t="n">
        <v>9331</v>
      </c>
      <c r="G15" s="4" t="n">
        <v>0</v>
      </c>
      <c r="H15" s="4" t="n">
        <v>0</v>
      </c>
      <c r="I15" s="4" t="n">
        <v>3928</v>
      </c>
      <c r="J15" s="4">
        <f>F15+G15+H15</f>
        <v/>
      </c>
      <c r="K15" s="4">
        <f>MAX(0, (E15+I15)-J15)</f>
        <v/>
      </c>
      <c r="L15" s="4" t="n">
        <v>1728</v>
      </c>
      <c r="M15" s="4">
        <f>IF(K15&gt;0, MAX(K15, L15), 0)</f>
        <v/>
      </c>
      <c r="N15" s="5" t="n">
        <v>950</v>
      </c>
      <c r="O15" s="5">
        <f>M15*N15</f>
        <v/>
      </c>
      <c r="P15" s="6">
        <f>ROUND((J15+M15)/(E15/8), 1)</f>
        <v/>
      </c>
      <c r="Q15" s="7">
        <f>IF(K15&gt;0, "APROBAR COMPRA", "STOCK SUFICIENTE")</f>
        <v/>
      </c>
    </row>
    <row r="16">
      <c r="A16" s="2" t="inlineStr">
        <is>
          <t>FOD-BEV-ARZ-GRN</t>
        </is>
      </c>
      <c r="B16" s="2" t="inlineStr">
        <is>
          <t>AriZona Green Tea with Ginseng &amp; Honey 680ml</t>
        </is>
      </c>
      <c r="C16" s="2" t="inlineStr">
        <is>
          <t>Bebidas &amp; Energéticas</t>
        </is>
      </c>
      <c r="D16" s="3" t="inlineStr">
        <is>
          <t>A</t>
        </is>
      </c>
      <c r="E16" s="4" t="n">
        <v>54499</v>
      </c>
      <c r="F16" s="4" t="n">
        <v>6480</v>
      </c>
      <c r="G16" s="4" t="n">
        <v>4800</v>
      </c>
      <c r="H16" s="4" t="n">
        <v>0</v>
      </c>
      <c r="I16" s="4" t="n">
        <v>14932</v>
      </c>
      <c r="J16" s="4">
        <f>F16+G16+H16</f>
        <v/>
      </c>
      <c r="K16" s="4">
        <f>MAX(0, (E16+I16)-J16)</f>
        <v/>
      </c>
      <c r="L16" s="4" t="n">
        <v>2400</v>
      </c>
      <c r="M16" s="4">
        <f>IF(K16&gt;0, MAX(K16, L16), 0)</f>
        <v/>
      </c>
      <c r="N16" s="5" t="n">
        <v>1200</v>
      </c>
      <c r="O16" s="5">
        <f>M16*N16</f>
        <v/>
      </c>
      <c r="P16" s="6">
        <f>ROUND((J16+M16)/(E16/8), 1)</f>
        <v/>
      </c>
      <c r="Q16" s="7">
        <f>IF(K16&gt;0, "APROBAR COMPRA", "STOCK SUFICIENTE")</f>
        <v/>
      </c>
    </row>
    <row r="17">
      <c r="A17" s="2" t="inlineStr">
        <is>
          <t>FOD-BEV-SNP-PCH</t>
        </is>
      </c>
      <c r="B17" s="2" t="inlineStr">
        <is>
          <t>Snapple Peach Tea Real Brewed 473ml</t>
        </is>
      </c>
      <c r="C17" s="2" t="inlineStr">
        <is>
          <t>Bebidas &amp; Energéticas</t>
        </is>
      </c>
      <c r="D17" s="3" t="inlineStr">
        <is>
          <t>C</t>
        </is>
      </c>
      <c r="E17" s="4" t="n">
        <v>4348</v>
      </c>
      <c r="F17" s="4" t="n">
        <v>5376</v>
      </c>
      <c r="G17" s="4" t="n">
        <v>0</v>
      </c>
      <c r="H17" s="4" t="n">
        <v>0</v>
      </c>
      <c r="I17" s="4" t="n">
        <v>784</v>
      </c>
      <c r="J17" s="4">
        <f>F17+G17+H17</f>
        <v/>
      </c>
      <c r="K17" s="4">
        <f>MAX(0, (E17+I17)-J17)</f>
        <v/>
      </c>
      <c r="L17" s="4" t="n">
        <v>768</v>
      </c>
      <c r="M17" s="4">
        <f>IF(K17&gt;0, MAX(K17, L17), 0)</f>
        <v/>
      </c>
      <c r="N17" s="5" t="n">
        <v>1350</v>
      </c>
      <c r="O17" s="5">
        <f>M17*N17</f>
        <v/>
      </c>
      <c r="P17" s="6">
        <f>ROUND((J17+M17)/(E17/8), 1)</f>
        <v/>
      </c>
      <c r="Q17" s="7">
        <f>IF(K17&gt;0, "APROBAR COMPRA", "STOCK SUFICIENTE")</f>
        <v/>
      </c>
    </row>
    <row r="18">
      <c r="A18" s="2" t="inlineStr">
        <is>
          <t>FOD-SNK-REESE-42G</t>
        </is>
      </c>
      <c r="B18" s="2" t="inlineStr">
        <is>
          <t>Reese's Peanut Butter Cups 2-Pack 42g</t>
        </is>
      </c>
      <c r="C18" s="2" t="inlineStr">
        <is>
          <t>Chocolates &amp; Dulces</t>
        </is>
      </c>
      <c r="D18" s="3" t="inlineStr">
        <is>
          <t>A</t>
        </is>
      </c>
      <c r="E18" s="4" t="n">
        <v>60714</v>
      </c>
      <c r="F18" s="4" t="n">
        <v>14400</v>
      </c>
      <c r="G18" s="4" t="n">
        <v>5760</v>
      </c>
      <c r="H18" s="4" t="n">
        <v>0</v>
      </c>
      <c r="I18" s="4" t="n">
        <v>12181</v>
      </c>
      <c r="J18" s="4">
        <f>F18+G18+H18</f>
        <v/>
      </c>
      <c r="K18" s="4">
        <f>MAX(0, (E18+I18)-J18)</f>
        <v/>
      </c>
      <c r="L18" s="4" t="n">
        <v>2880</v>
      </c>
      <c r="M18" s="4">
        <f>IF(K18&gt;0, MAX(K18, L18), 0)</f>
        <v/>
      </c>
      <c r="N18" s="5" t="n">
        <v>780</v>
      </c>
      <c r="O18" s="5">
        <f>M18*N18</f>
        <v/>
      </c>
      <c r="P18" s="6">
        <f>ROUND((J18+M18)/(E18/8), 1)</f>
        <v/>
      </c>
      <c r="Q18" s="7">
        <f>IF(K18&gt;0, "APROBAR COMPRA", "STOCK SUFICIENTE")</f>
        <v/>
      </c>
    </row>
    <row r="19">
      <c r="A19" s="2" t="inlineStr">
        <is>
          <t>FOD-CHO-REESE-WHT</t>
        </is>
      </c>
      <c r="B19" s="2" t="inlineStr">
        <is>
          <t>Reese's White Chocolate Peanut Butter Cups 42g</t>
        </is>
      </c>
      <c r="C19" s="2" t="inlineStr">
        <is>
          <t>Chocolates &amp; Dulces</t>
        </is>
      </c>
      <c r="D19" s="3" t="inlineStr">
        <is>
          <t>B</t>
        </is>
      </c>
      <c r="E19" s="4" t="n">
        <v>22339</v>
      </c>
      <c r="F19" s="4" t="n">
        <v>17280</v>
      </c>
      <c r="G19" s="4" t="n">
        <v>0</v>
      </c>
      <c r="H19" s="4" t="n">
        <v>0</v>
      </c>
      <c r="I19" s="4" t="n">
        <v>3919</v>
      </c>
      <c r="J19" s="4">
        <f>F19+G19+H19</f>
        <v/>
      </c>
      <c r="K19" s="4">
        <f>MAX(0, (E19+I19)-J19)</f>
        <v/>
      </c>
      <c r="L19" s="4" t="n">
        <v>1440</v>
      </c>
      <c r="M19" s="4">
        <f>IF(K19&gt;0, MAX(K19, L19), 0)</f>
        <v/>
      </c>
      <c r="N19" s="5" t="n">
        <v>820</v>
      </c>
      <c r="O19" s="5">
        <f>M19*N19</f>
        <v/>
      </c>
      <c r="P19" s="6">
        <f>ROUND((J19+M19)/(E19/8), 1)</f>
        <v/>
      </c>
      <c r="Q19" s="7">
        <f>IF(K19&gt;0, "APROBAR COMPRA", "STOCK SUFICIENTE")</f>
        <v/>
      </c>
    </row>
    <row r="20">
      <c r="A20" s="2" t="inlineStr">
        <is>
          <t>FOD-CHO-HERSH-CKC</t>
        </is>
      </c>
      <c r="B20" s="2" t="inlineStr">
        <is>
          <t>Hershey's Cookies 'n' Creme Candy Bar 43g</t>
        </is>
      </c>
      <c r="C20" s="2" t="inlineStr">
        <is>
          <t>Chocolates &amp; Dulces</t>
        </is>
      </c>
      <c r="D20" s="3" t="inlineStr">
        <is>
          <t>A</t>
        </is>
      </c>
      <c r="E20" s="4" t="n">
        <v>60573</v>
      </c>
      <c r="F20" s="4" t="n">
        <v>17856</v>
      </c>
      <c r="G20" s="4" t="n">
        <v>0</v>
      </c>
      <c r="H20" s="4" t="n">
        <v>0</v>
      </c>
      <c r="I20" s="4" t="n">
        <v>12234</v>
      </c>
      <c r="J20" s="4">
        <f>F20+G20+H20</f>
        <v/>
      </c>
      <c r="K20" s="4">
        <f>MAX(0, (E20+I20)-J20)</f>
        <v/>
      </c>
      <c r="L20" s="4" t="n">
        <v>2880</v>
      </c>
      <c r="M20" s="4">
        <f>IF(K20&gt;0, MAX(K20, L20), 0)</f>
        <v/>
      </c>
      <c r="N20" s="5" t="n">
        <v>750</v>
      </c>
      <c r="O20" s="5">
        <f>M20*N20</f>
        <v/>
      </c>
      <c r="P20" s="6">
        <f>ROUND((J20+M20)/(E20/8), 1)</f>
        <v/>
      </c>
      <c r="Q20" s="7">
        <f>IF(K20&gt;0, "APROBAR COMPRA", "STOCK SUFICIENTE")</f>
        <v/>
      </c>
    </row>
    <row r="21">
      <c r="A21" s="2" t="inlineStr">
        <is>
          <t>FOD-CHO-MM-PNT</t>
        </is>
      </c>
      <c r="B21" s="2" t="inlineStr">
        <is>
          <t>M&amp;M's Peanut Butter Chocolate Candies 46g</t>
        </is>
      </c>
      <c r="C21" s="2" t="inlineStr">
        <is>
          <t>Chocolates &amp; Dulces</t>
        </is>
      </c>
      <c r="D21" s="3" t="inlineStr">
        <is>
          <t>A</t>
        </is>
      </c>
      <c r="E21" s="4" t="n">
        <v>65695</v>
      </c>
      <c r="F21" s="4" t="n">
        <v>11232</v>
      </c>
      <c r="G21" s="4" t="n">
        <v>4320</v>
      </c>
      <c r="H21" s="4" t="n">
        <v>0</v>
      </c>
      <c r="I21" s="4" t="n">
        <v>13292</v>
      </c>
      <c r="J21" s="4">
        <f>F21+G21+H21</f>
        <v/>
      </c>
      <c r="K21" s="4">
        <f>MAX(0, (E21+I21)-J21)</f>
        <v/>
      </c>
      <c r="L21" s="4" t="n">
        <v>2160</v>
      </c>
      <c r="M21" s="4">
        <f>IF(K21&gt;0, MAX(K21, L21), 0)</f>
        <v/>
      </c>
      <c r="N21" s="5" t="n">
        <v>850</v>
      </c>
      <c r="O21" s="5">
        <f>M21*N21</f>
        <v/>
      </c>
      <c r="P21" s="6">
        <f>ROUND((J21+M21)/(E21/8), 1)</f>
        <v/>
      </c>
      <c r="Q21" s="7">
        <f>IF(K21&gt;0, "APROBAR COMPRA", "STOCK SUFICIENTE")</f>
        <v/>
      </c>
    </row>
    <row r="22">
      <c r="A22" s="2" t="inlineStr">
        <is>
          <t>FOD-CND-SOUR-99G</t>
        </is>
      </c>
      <c r="B22" s="2" t="inlineStr">
        <is>
          <t>Sour Patch Kids Theater Box 99g</t>
        </is>
      </c>
      <c r="C22" s="2" t="inlineStr">
        <is>
          <t>Chocolates &amp; Dulces</t>
        </is>
      </c>
      <c r="D22" s="3" t="inlineStr">
        <is>
          <t>A</t>
        </is>
      </c>
      <c r="E22" s="4" t="n">
        <v>72062</v>
      </c>
      <c r="F22" s="4" t="n">
        <v>7440</v>
      </c>
      <c r="G22" s="4" t="n">
        <v>0</v>
      </c>
      <c r="H22" s="4" t="n">
        <v>2400</v>
      </c>
      <c r="I22" s="4" t="n">
        <v>14825</v>
      </c>
      <c r="J22" s="4">
        <f>F22+G22+H22</f>
        <v/>
      </c>
      <c r="K22" s="4">
        <f>MAX(0, (E22+I22)-J22)</f>
        <v/>
      </c>
      <c r="L22" s="4" t="n">
        <v>1200</v>
      </c>
      <c r="M22" s="4">
        <f>IF(K22&gt;0, MAX(K22, L22), 0)</f>
        <v/>
      </c>
      <c r="N22" s="5" t="n">
        <v>1150</v>
      </c>
      <c r="O22" s="5">
        <f>M22*N22</f>
        <v/>
      </c>
      <c r="P22" s="6">
        <f>ROUND((J22+M22)/(E22/8), 1)</f>
        <v/>
      </c>
      <c r="Q22" s="7">
        <f>IF(K22&gt;0, "APROBAR COMPRA", "STOCK SUFICIENTE")</f>
        <v/>
      </c>
    </row>
    <row r="23">
      <c r="A23" s="2" t="inlineStr">
        <is>
          <t>FOD-CND-SWD-FSH</t>
        </is>
      </c>
      <c r="B23" s="2" t="inlineStr">
        <is>
          <t>Swedish Fish Red Theater Box Candy 99g</t>
        </is>
      </c>
      <c r="C23" s="2" t="inlineStr">
        <is>
          <t>Chocolates &amp; Dulces</t>
        </is>
      </c>
      <c r="D23" s="3" t="inlineStr">
        <is>
          <t>C</t>
        </is>
      </c>
      <c r="E23" s="4" t="n">
        <v>5601</v>
      </c>
      <c r="F23" s="4" t="n">
        <v>6480</v>
      </c>
      <c r="G23" s="4" t="n">
        <v>0</v>
      </c>
      <c r="H23" s="4" t="n">
        <v>0</v>
      </c>
      <c r="I23" s="4" t="n">
        <v>730</v>
      </c>
      <c r="J23" s="4">
        <f>F23+G23+H23</f>
        <v/>
      </c>
      <c r="K23" s="4">
        <f>MAX(0, (E23+I23)-J23)</f>
        <v/>
      </c>
      <c r="L23" s="4" t="n">
        <v>600</v>
      </c>
      <c r="M23" s="4">
        <f>IF(K23&gt;0, MAX(K23, L23), 0)</f>
        <v/>
      </c>
      <c r="N23" s="5" t="n">
        <v>1100</v>
      </c>
      <c r="O23" s="5">
        <f>M23*N23</f>
        <v/>
      </c>
      <c r="P23" s="6">
        <f>ROUND((J23+M23)/(E23/8), 1)</f>
        <v/>
      </c>
      <c r="Q23" s="7">
        <f>IF(K23&gt;0, "APROBAR COMPRA", "STOCK SUFICIENTE")</f>
        <v/>
      </c>
    </row>
    <row r="24">
      <c r="A24" s="2" t="inlineStr">
        <is>
          <t>FOD-CND-NRD-ROP</t>
        </is>
      </c>
      <c r="B24" s="2" t="inlineStr">
        <is>
          <t>Nerds Rope Very Berry Candy 26g</t>
        </is>
      </c>
      <c r="C24" s="2" t="inlineStr">
        <is>
          <t>Chocolates &amp; Dulces</t>
        </is>
      </c>
      <c r="D24" s="3" t="inlineStr">
        <is>
          <t>B</t>
        </is>
      </c>
      <c r="E24" s="4" t="n">
        <v>24666</v>
      </c>
      <c r="F24" s="4" t="n">
        <v>7488</v>
      </c>
      <c r="G24" s="4" t="n">
        <v>0</v>
      </c>
      <c r="H24" s="4" t="n">
        <v>0</v>
      </c>
      <c r="I24" s="4" t="n">
        <v>4023</v>
      </c>
      <c r="J24" s="4">
        <f>F24+G24+H24</f>
        <v/>
      </c>
      <c r="K24" s="4">
        <f>MAX(0, (E24+I24)-J24)</f>
        <v/>
      </c>
      <c r="L24" s="4" t="n">
        <v>1440</v>
      </c>
      <c r="M24" s="4">
        <f>IF(K24&gt;0, MAX(K24, L24), 0)</f>
        <v/>
      </c>
      <c r="N24" s="5" t="n">
        <v>620</v>
      </c>
      <c r="O24" s="5">
        <f>M24*N24</f>
        <v/>
      </c>
      <c r="P24" s="6">
        <f>ROUND((J24+M24)/(E24/8), 1)</f>
        <v/>
      </c>
      <c r="Q24" s="7">
        <f>IF(K24&gt;0, "APROBAR COMPRA", "STOCK SUFICIENTE")</f>
        <v/>
      </c>
    </row>
    <row r="25">
      <c r="A25" s="2" t="inlineStr">
        <is>
          <t>FOD-BK-POPT-STR</t>
        </is>
      </c>
      <c r="B25" s="2" t="inlineStr">
        <is>
          <t>Pop-Tarts Frosted Strawberry Toaster Pastries 8pk 384g</t>
        </is>
      </c>
      <c r="C25" s="2" t="inlineStr">
        <is>
          <t>Chocolates &amp; Dulces</t>
        </is>
      </c>
      <c r="D25" s="3" t="inlineStr">
        <is>
          <t>A</t>
        </is>
      </c>
      <c r="E25" s="4" t="n">
        <v>75189</v>
      </c>
      <c r="F25" s="4" t="n">
        <v>2419</v>
      </c>
      <c r="G25" s="4" t="n">
        <v>2304</v>
      </c>
      <c r="H25" s="4" t="n">
        <v>0</v>
      </c>
      <c r="I25" s="4" t="n">
        <v>15284</v>
      </c>
      <c r="J25" s="4">
        <f>F25+G25+H25</f>
        <v/>
      </c>
      <c r="K25" s="4">
        <f>MAX(0, (E25+I25)-J25)</f>
        <v/>
      </c>
      <c r="L25" s="4" t="n">
        <v>1152</v>
      </c>
      <c r="M25" s="4">
        <f>IF(K25&gt;0, MAX(K25, L25), 0)</f>
        <v/>
      </c>
      <c r="N25" s="5" t="n">
        <v>2700</v>
      </c>
      <c r="O25" s="5">
        <f>M25*N25</f>
        <v/>
      </c>
      <c r="P25" s="6">
        <f>ROUND((J25+M25)/(E25/8), 1)</f>
        <v/>
      </c>
      <c r="Q25" s="7">
        <f>IF(K25&gt;0, "APROBAR COMPRA", "STOCK SUFICIENTE")</f>
        <v/>
      </c>
    </row>
    <row r="26">
      <c r="A26" s="2" t="inlineStr">
        <is>
          <t>FOD-BK-POPT-BRN</t>
        </is>
      </c>
      <c r="B26" s="2" t="inlineStr">
        <is>
          <t>Pop-Tarts Frosted Brown Sugar Cinnamon 8pk 384g</t>
        </is>
      </c>
      <c r="C26" s="2" t="inlineStr">
        <is>
          <t>Chocolates &amp; Dulces</t>
        </is>
      </c>
      <c r="D26" s="3" t="inlineStr">
        <is>
          <t>B</t>
        </is>
      </c>
      <c r="E26" s="4" t="n">
        <v>27003</v>
      </c>
      <c r="F26" s="4" t="n">
        <v>4377</v>
      </c>
      <c r="G26" s="4" t="n">
        <v>0</v>
      </c>
      <c r="H26" s="4" t="n">
        <v>0</v>
      </c>
      <c r="I26" s="4" t="n">
        <v>4393</v>
      </c>
      <c r="J26" s="4">
        <f>F26+G26+H26</f>
        <v/>
      </c>
      <c r="K26" s="4">
        <f>MAX(0, (E26+I26)-J26)</f>
        <v/>
      </c>
      <c r="L26" s="4" t="n">
        <v>576</v>
      </c>
      <c r="M26" s="4">
        <f>IF(K26&gt;0, MAX(K26, L26), 0)</f>
        <v/>
      </c>
      <c r="N26" s="5" t="n">
        <v>2700</v>
      </c>
      <c r="O26" s="5">
        <f>M26*N26</f>
        <v/>
      </c>
      <c r="P26" s="6">
        <f>ROUND((J26+M26)/(E26/8), 1)</f>
        <v/>
      </c>
      <c r="Q26" s="7">
        <f>IF(K26&gt;0, "APROBAR COMPRA", "STOCK SUFICIENTE")</f>
        <v/>
      </c>
    </row>
    <row r="27">
      <c r="A27" s="2" t="inlineStr">
        <is>
          <t>FOD-CND-TWZ-STR</t>
        </is>
      </c>
      <c r="B27" s="2" t="inlineStr">
        <is>
          <t>Twizzlers Strawberry Twists Chewy Candy 198g</t>
        </is>
      </c>
      <c r="C27" s="2" t="inlineStr">
        <is>
          <t>Chocolates &amp; Dulces</t>
        </is>
      </c>
      <c r="D27" s="3" t="inlineStr">
        <is>
          <t>C</t>
        </is>
      </c>
      <c r="E27" s="4" t="n">
        <v>5031</v>
      </c>
      <c r="F27" s="4" t="n">
        <v>1728</v>
      </c>
      <c r="G27" s="4" t="n">
        <v>0</v>
      </c>
      <c r="H27" s="4" t="n">
        <v>0</v>
      </c>
      <c r="I27" s="4" t="n">
        <v>622</v>
      </c>
      <c r="J27" s="4">
        <f>F27+G27+H27</f>
        <v/>
      </c>
      <c r="K27" s="4">
        <f>MAX(0, (E27+I27)-J27)</f>
        <v/>
      </c>
      <c r="L27" s="4" t="n">
        <v>720</v>
      </c>
      <c r="M27" s="4">
        <f>IF(K27&gt;0, MAX(K27, L27), 0)</f>
        <v/>
      </c>
      <c r="N27" s="5" t="n">
        <v>1300</v>
      </c>
      <c r="O27" s="5">
        <f>M27*N27</f>
        <v/>
      </c>
      <c r="P27" s="6">
        <f>ROUND((J27+M27)/(E27/8), 1)</f>
        <v/>
      </c>
      <c r="Q27" s="7">
        <f>IF(K27&gt;0, "APROBAR COMPRA", "STOCK SUFICIENTE")</f>
        <v/>
      </c>
    </row>
    <row r="28">
      <c r="A28" s="2" t="inlineStr">
        <is>
          <t>FOD-GRO-KRAFT-206</t>
        </is>
      </c>
      <c r="B28" s="2" t="inlineStr">
        <is>
          <t>Kraft Macaroni &amp; Cheese Original Dinner 206g</t>
        </is>
      </c>
      <c r="C28" s="2" t="inlineStr">
        <is>
          <t>Despensa &amp; Salsas</t>
        </is>
      </c>
      <c r="D28" s="3" t="inlineStr">
        <is>
          <t>A</t>
        </is>
      </c>
      <c r="E28" s="4" t="n">
        <v>55290</v>
      </c>
      <c r="F28" s="4" t="n">
        <v>6758</v>
      </c>
      <c r="G28" s="4" t="n">
        <v>0</v>
      </c>
      <c r="H28" s="4" t="n">
        <v>3072</v>
      </c>
      <c r="I28" s="4" t="n">
        <v>12003</v>
      </c>
      <c r="J28" s="4">
        <f>F28+G28+H28</f>
        <v/>
      </c>
      <c r="K28" s="4">
        <f>MAX(0, (E28+I28)-J28)</f>
        <v/>
      </c>
      <c r="L28" s="4" t="n">
        <v>1536</v>
      </c>
      <c r="M28" s="4">
        <f>IF(K28&gt;0, MAX(K28, L28), 0)</f>
        <v/>
      </c>
      <c r="N28" s="5" t="n">
        <v>1420</v>
      </c>
      <c r="O28" s="5">
        <f>M28*N28</f>
        <v/>
      </c>
      <c r="P28" s="6">
        <f>ROUND((J28+M28)/(E28/8), 1)</f>
        <v/>
      </c>
      <c r="Q28" s="7">
        <f>IF(K28&gt;0, "APROBAR COMPRA", "STOCK SUFICIENTE")</f>
        <v/>
      </c>
    </row>
    <row r="29">
      <c r="A29" s="2" t="inlineStr">
        <is>
          <t>FOD-GRO-KRAFT-DLX</t>
        </is>
      </c>
      <c r="B29" s="2" t="inlineStr">
        <is>
          <t>Kraft Deluxe Four Cheese Macaroni &amp; Cheese 397g</t>
        </is>
      </c>
      <c r="C29" s="2" t="inlineStr">
        <is>
          <t>Despensa &amp; Salsas</t>
        </is>
      </c>
      <c r="D29" s="3" t="inlineStr">
        <is>
          <t>B</t>
        </is>
      </c>
      <c r="E29" s="4" t="n">
        <v>19611</v>
      </c>
      <c r="F29" s="4" t="n">
        <v>3000</v>
      </c>
      <c r="G29" s="4" t="n">
        <v>0</v>
      </c>
      <c r="H29" s="4" t="n">
        <v>0</v>
      </c>
      <c r="I29" s="4" t="n">
        <v>3494</v>
      </c>
      <c r="J29" s="4">
        <f>F29+G29+H29</f>
        <v/>
      </c>
      <c r="K29" s="4">
        <f>MAX(0, (E29+I29)-J29)</f>
        <v/>
      </c>
      <c r="L29" s="4" t="n">
        <v>600</v>
      </c>
      <c r="M29" s="4">
        <f>IF(K29&gt;0, MAX(K29, L29), 0)</f>
        <v/>
      </c>
      <c r="N29" s="5" t="n">
        <v>2650</v>
      </c>
      <c r="O29" s="5">
        <f>M29*N29</f>
        <v/>
      </c>
      <c r="P29" s="6">
        <f>ROUND((J29+M29)/(E29/8), 1)</f>
        <v/>
      </c>
      <c r="Q29" s="7">
        <f>IF(K29&gt;0, "APROBAR COMPRA", "STOCK SUFICIENTE")</f>
        <v/>
      </c>
    </row>
    <row r="30">
      <c r="A30" s="2" t="inlineStr">
        <is>
          <t>FOD-SAU-FRK-HOT</t>
        </is>
      </c>
      <c r="B30" s="2" t="inlineStr">
        <is>
          <t>Frank's RedHot Original Cayenne Pepper Sauce 354ml</t>
        </is>
      </c>
      <c r="C30" s="2" t="inlineStr">
        <is>
          <t>Despensa &amp; Salsas</t>
        </is>
      </c>
      <c r="D30" s="3" t="inlineStr">
        <is>
          <t>B</t>
        </is>
      </c>
      <c r="E30" s="4" t="n">
        <v>21734</v>
      </c>
      <c r="F30" s="4" t="n">
        <v>5208</v>
      </c>
      <c r="G30" s="4" t="n">
        <v>0</v>
      </c>
      <c r="H30" s="4" t="n">
        <v>0</v>
      </c>
      <c r="I30" s="4" t="n">
        <v>4119</v>
      </c>
      <c r="J30" s="4">
        <f>F30+G30+H30</f>
        <v/>
      </c>
      <c r="K30" s="4">
        <f>MAX(0, (E30+I30)-J30)</f>
        <v/>
      </c>
      <c r="L30" s="4" t="n">
        <v>840</v>
      </c>
      <c r="M30" s="4">
        <f>IF(K30&gt;0, MAX(K30, L30), 0)</f>
        <v/>
      </c>
      <c r="N30" s="5" t="n">
        <v>2150</v>
      </c>
      <c r="O30" s="5">
        <f>M30*N30</f>
        <v/>
      </c>
      <c r="P30" s="6">
        <f>ROUND((J30+M30)/(E30/8), 1)</f>
        <v/>
      </c>
      <c r="Q30" s="7">
        <f>IF(K30&gt;0, "APROBAR COMPRA", "STOCK SUFICIENTE")</f>
        <v/>
      </c>
    </row>
    <row r="31">
      <c r="A31" s="2" t="inlineStr">
        <is>
          <t>FOD-SAU-SBR-BBQ</t>
        </is>
      </c>
      <c r="B31" s="2" t="inlineStr">
        <is>
          <t>Sweet Baby Ray's Honey Barbecue Sauce 510g</t>
        </is>
      </c>
      <c r="C31" s="2" t="inlineStr">
        <is>
          <t>Despensa &amp; Salsas</t>
        </is>
      </c>
      <c r="D31" s="3" t="inlineStr">
        <is>
          <t>A</t>
        </is>
      </c>
      <c r="E31" s="4" t="n">
        <v>56294</v>
      </c>
      <c r="F31" s="4" t="n">
        <v>3312</v>
      </c>
      <c r="G31" s="4" t="n">
        <v>0</v>
      </c>
      <c r="H31" s="4" t="n">
        <v>1440</v>
      </c>
      <c r="I31" s="4" t="n">
        <v>12733</v>
      </c>
      <c r="J31" s="4">
        <f>F31+G31+H31</f>
        <v/>
      </c>
      <c r="K31" s="4">
        <f>MAX(0, (E31+I31)-J31)</f>
        <v/>
      </c>
      <c r="L31" s="4" t="n">
        <v>1440</v>
      </c>
      <c r="M31" s="4">
        <f>IF(K31&gt;0, MAX(K31, L31), 0)</f>
        <v/>
      </c>
      <c r="N31" s="5" t="n">
        <v>2300</v>
      </c>
      <c r="O31" s="5">
        <f>M31*N31</f>
        <v/>
      </c>
      <c r="P31" s="6">
        <f>ROUND((J31+M31)/(E31/8), 1)</f>
        <v/>
      </c>
      <c r="Q31" s="7">
        <f>IF(K31&gt;0, "APROBAR COMPRA", "STOCK SUFICIENTE")</f>
        <v/>
      </c>
    </row>
    <row r="32">
      <c r="A32" s="2" t="inlineStr">
        <is>
          <t>FOD-SAU-HDN-RNC</t>
        </is>
      </c>
      <c r="B32" s="2" t="inlineStr">
        <is>
          <t>Hidden Valley The Original Ranch Dressing 473ml</t>
        </is>
      </c>
      <c r="C32" s="2" t="inlineStr">
        <is>
          <t>Despensa &amp; Salsas</t>
        </is>
      </c>
      <c r="D32" s="3" t="inlineStr">
        <is>
          <t>B</t>
        </is>
      </c>
      <c r="E32" s="4" t="n">
        <v>20942</v>
      </c>
      <c r="F32" s="4" t="n">
        <v>3312</v>
      </c>
      <c r="G32" s="4" t="n">
        <v>0</v>
      </c>
      <c r="H32" s="4" t="n">
        <v>0</v>
      </c>
      <c r="I32" s="4" t="n">
        <v>3865</v>
      </c>
      <c r="J32" s="4">
        <f>F32+G32+H32</f>
        <v/>
      </c>
      <c r="K32" s="4">
        <f>MAX(0, (E32+I32)-J32)</f>
        <v/>
      </c>
      <c r="L32" s="4" t="n">
        <v>720</v>
      </c>
      <c r="M32" s="4">
        <f>IF(K32&gt;0, MAX(K32, L32), 0)</f>
        <v/>
      </c>
      <c r="N32" s="5" t="n">
        <v>2500</v>
      </c>
      <c r="O32" s="5">
        <f>M32*N32</f>
        <v/>
      </c>
      <c r="P32" s="6">
        <f>ROUND((J32+M32)/(E32/8), 1)</f>
        <v/>
      </c>
      <c r="Q32" s="7">
        <f>IF(K32&gt;0, "APROBAR COMPRA", "STOCK SUFICIENTE")</f>
        <v/>
      </c>
    </row>
    <row r="33">
      <c r="A33" s="2" t="inlineStr">
        <is>
          <t>FOD-SAU-HNZ-MST</t>
        </is>
      </c>
      <c r="B33" s="2" t="inlineStr">
        <is>
          <t>Heinz Yellow Mustard Squeeze Bottle USA 396g</t>
        </is>
      </c>
      <c r="C33" s="2" t="inlineStr">
        <is>
          <t>Despensa &amp; Salsas</t>
        </is>
      </c>
      <c r="D33" s="3" t="inlineStr">
        <is>
          <t>C</t>
        </is>
      </c>
      <c r="E33" s="4" t="n">
        <v>3794</v>
      </c>
      <c r="F33" s="4" t="n">
        <v>5616</v>
      </c>
      <c r="G33" s="4" t="n">
        <v>0</v>
      </c>
      <c r="H33" s="4" t="n">
        <v>0</v>
      </c>
      <c r="I33" s="4" t="n">
        <v>572</v>
      </c>
      <c r="J33" s="4">
        <f>F33+G33+H33</f>
        <v/>
      </c>
      <c r="K33" s="4">
        <f>MAX(0, (E33+I33)-J33)</f>
        <v/>
      </c>
      <c r="L33" s="4" t="n">
        <v>1040</v>
      </c>
      <c r="M33" s="4">
        <f>IF(K33&gt;0, MAX(K33, L33), 0)</f>
        <v/>
      </c>
      <c r="N33" s="5" t="n">
        <v>1400</v>
      </c>
      <c r="O33" s="5">
        <f>M33*N33</f>
        <v/>
      </c>
      <c r="P33" s="6">
        <f>ROUND((J33+M33)/(E33/8), 1)</f>
        <v/>
      </c>
      <c r="Q33" s="7">
        <f>IF(K33&gt;0, "APROBAR COMPRA", "STOCK SUFICIENTE")</f>
        <v/>
      </c>
    </row>
    <row r="34">
      <c r="A34" s="2" t="inlineStr">
        <is>
          <t>FOD-SPR-SKP-PNT</t>
        </is>
      </c>
      <c r="B34" s="2" t="inlineStr">
        <is>
          <t>Skippy Creamy Peanut Butter USA 462g</t>
        </is>
      </c>
      <c r="C34" s="2" t="inlineStr">
        <is>
          <t>Despensa &amp; Salsas</t>
        </is>
      </c>
      <c r="D34" s="3" t="inlineStr">
        <is>
          <t>B</t>
        </is>
      </c>
      <c r="E34" s="4" t="n">
        <v>20528</v>
      </c>
      <c r="F34" s="4" t="n">
        <v>2448</v>
      </c>
      <c r="G34" s="4" t="n">
        <v>0</v>
      </c>
      <c r="H34" s="4" t="n">
        <v>0</v>
      </c>
      <c r="I34" s="4" t="n">
        <v>3897</v>
      </c>
      <c r="J34" s="4">
        <f>F34+G34+H34</f>
        <v/>
      </c>
      <c r="K34" s="4">
        <f>MAX(0, (E34+I34)-J34)</f>
        <v/>
      </c>
      <c r="L34" s="4" t="n">
        <v>720</v>
      </c>
      <c r="M34" s="4">
        <f>IF(K34&gt;0, MAX(K34, L34), 0)</f>
        <v/>
      </c>
      <c r="N34" s="5" t="n">
        <v>2850</v>
      </c>
      <c r="O34" s="5">
        <f>M34*N34</f>
        <v/>
      </c>
      <c r="P34" s="6">
        <f>ROUND((J34+M34)/(E34/8), 1)</f>
        <v/>
      </c>
      <c r="Q34" s="7">
        <f>IF(K34&gt;0, "APROBAR COMPRA", "STOCK SUFICIENTE")</f>
        <v/>
      </c>
    </row>
    <row r="35">
      <c r="A35" s="2" t="inlineStr">
        <is>
          <t>FOD-SOU-CMP-TOM</t>
        </is>
      </c>
      <c r="B35" s="2" t="inlineStr">
        <is>
          <t>Campbell's Condensed Tomato Soup 305g</t>
        </is>
      </c>
      <c r="C35" s="2" t="inlineStr">
        <is>
          <t>Despensa &amp; Salsas</t>
        </is>
      </c>
      <c r="D35" s="3" t="inlineStr">
        <is>
          <t>C</t>
        </is>
      </c>
      <c r="E35" s="4" t="n">
        <v>3948</v>
      </c>
      <c r="F35" s="4" t="n">
        <v>5376</v>
      </c>
      <c r="G35" s="4" t="n">
        <v>0</v>
      </c>
      <c r="H35" s="4" t="n">
        <v>0</v>
      </c>
      <c r="I35" s="4" t="n">
        <v>565</v>
      </c>
      <c r="J35" s="4">
        <f>F35+G35+H35</f>
        <v/>
      </c>
      <c r="K35" s="4">
        <f>MAX(0, (E35+I35)-J35)</f>
        <v/>
      </c>
      <c r="L35" s="4" t="n">
        <v>840</v>
      </c>
      <c r="M35" s="4">
        <f>IF(K35&gt;0, MAX(K35, L35), 0)</f>
        <v/>
      </c>
      <c r="N35" s="5" t="n">
        <v>1250</v>
      </c>
      <c r="O35" s="5">
        <f>M35*N35</f>
        <v/>
      </c>
      <c r="P35" s="6">
        <f>ROUND((J35+M35)/(E35/8), 1)</f>
        <v/>
      </c>
      <c r="Q35" s="7">
        <f>IF(K35&gt;0, "APROBAR COMPRA", "STOCK SUFICIENTE")</f>
        <v/>
      </c>
    </row>
    <row r="36">
      <c r="A36" s="8" t="inlineStr">
        <is>
          <t>TOTAL GENERAL</t>
        </is>
      </c>
      <c r="B36" s="9" t="n"/>
      <c r="C36" s="9" t="n"/>
      <c r="D36" s="9" t="n"/>
      <c r="E36" s="10">
        <f>SUM(E2:E35)</f>
        <v/>
      </c>
      <c r="F36" s="10">
        <f>SUM(F2:F35)</f>
        <v/>
      </c>
      <c r="G36" s="10">
        <f>SUM(G2:G35)</f>
        <v/>
      </c>
      <c r="H36" s="10">
        <f>SUM(H2:H35)</f>
        <v/>
      </c>
      <c r="I36" s="10">
        <f>SUM(I2:I35)</f>
        <v/>
      </c>
      <c r="J36" s="10">
        <f>SUM(J2:J35)</f>
        <v/>
      </c>
      <c r="K36" s="10">
        <f>SUM(K2:K35)</f>
        <v/>
      </c>
      <c r="L36" s="9" t="n"/>
      <c r="M36" s="10">
        <f>SUM(M2:M35)</f>
        <v/>
      </c>
      <c r="N36" s="9" t="n"/>
      <c r="O36" s="11">
        <f>SUM(O2:O35)</f>
        <v/>
      </c>
      <c r="P36" s="12">
        <f>ROUND(AVERAGE(P2:P35), 1)</f>
        <v/>
      </c>
      <c r="Q3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30" customWidth="1" min="4" max="4"/>
    <col width="17" customWidth="1" min="5" max="5"/>
    <col width="25" customWidth="1" min="6" max="6"/>
    <col width="31" customWidth="1" min="7" max="7"/>
    <col width="18" customWidth="1" min="8" max="8"/>
    <col width="55" customWidth="1" min="9" max="9"/>
  </cols>
  <sheetData>
    <row r="1">
      <c r="A1" s="13" t="inlineStr">
        <is>
          <t>SKU</t>
        </is>
      </c>
      <c r="B1" s="13" t="inlineStr">
        <is>
          <t>Categoría</t>
        </is>
      </c>
      <c r="C1" s="13" t="inlineStr">
        <is>
          <t>Venta Real Total (Actual)</t>
        </is>
      </c>
      <c r="D1" s="13" t="inlineStr">
        <is>
          <t>Pronóstico Total (Forecast)</t>
        </is>
      </c>
      <c r="E1" s="13" t="inlineStr">
        <is>
          <t>Error Absoluto</t>
        </is>
      </c>
      <c r="F1" s="13" t="inlineStr">
        <is>
          <t>WAPE %</t>
        </is>
      </c>
      <c r="G1" s="13" t="inlineStr">
        <is>
          <t>Sesgo % (Bias)</t>
        </is>
      </c>
      <c r="H1" s="13" t="inlineStr">
        <is>
          <t>Tracking Signal</t>
        </is>
      </c>
      <c r="I1" s="13" t="inlineStr">
        <is>
          <t>Diagnóstico S&amp;OP</t>
        </is>
      </c>
    </row>
    <row r="2">
      <c r="A2" s="7" t="inlineStr">
        <is>
          <t>FOD-BEV-ARZ-GRN</t>
        </is>
      </c>
      <c r="B2" s="7" t="inlineStr">
        <is>
          <t>Bebidas &amp; Energéticas</t>
        </is>
      </c>
      <c r="C2" s="4" t="n">
        <v>44250</v>
      </c>
      <c r="D2" s="4" t="n">
        <v>42388.4</v>
      </c>
      <c r="E2" s="4">
        <f>ABS(C2-D2)</f>
        <v/>
      </c>
      <c r="F2" s="14">
        <f>ROUND(E2/C2*100, 2)</f>
        <v/>
      </c>
      <c r="G2" s="15">
        <f>ROUND((D2-C2)/C2*100, 2)</f>
        <v/>
      </c>
      <c r="H2" s="16" t="n">
        <v>1</v>
      </c>
      <c r="I2" s="7" t="inlineStr">
        <is>
          <t>Balanceado (En Tolerancia S&amp;OP ±10%)</t>
        </is>
      </c>
    </row>
    <row r="3">
      <c r="A3" s="7" t="inlineStr">
        <is>
          <t>FOD-BEV-AW-ROOT</t>
        </is>
      </c>
      <c r="B3" s="7" t="inlineStr">
        <is>
          <t>Bebidas &amp; Energéticas</t>
        </is>
      </c>
      <c r="C3" s="4" t="n">
        <v>15760</v>
      </c>
      <c r="D3" s="4" t="n">
        <v>15121.03</v>
      </c>
      <c r="E3" s="4">
        <f>ABS(C3-D3)</f>
        <v/>
      </c>
      <c r="F3" s="14">
        <f>ROUND(E3/C3*100, 2)</f>
        <v/>
      </c>
      <c r="G3" s="15">
        <f>ROUND((D3-C3)/C3*100, 2)</f>
        <v/>
      </c>
      <c r="H3" s="16" t="n">
        <v>1</v>
      </c>
      <c r="I3" s="7" t="inlineStr">
        <is>
          <t>Balanceado (En Tolerancia S&amp;OP ±10%)</t>
        </is>
      </c>
    </row>
    <row r="4">
      <c r="A4" s="7" t="inlineStr">
        <is>
          <t>FOD-BEV-DRP-REG</t>
        </is>
      </c>
      <c r="B4" s="7" t="inlineStr">
        <is>
          <t>Bebidas &amp; Energéticas</t>
        </is>
      </c>
      <c r="C4" s="4" t="n">
        <v>44022</v>
      </c>
      <c r="D4" s="4" t="n">
        <v>42894.08</v>
      </c>
      <c r="E4" s="4">
        <f>ABS(C4-D4)</f>
        <v/>
      </c>
      <c r="F4" s="14">
        <f>ROUND(E4/C4*100, 2)</f>
        <v/>
      </c>
      <c r="G4" s="15">
        <f>ROUND((D4-C4)/C4*100, 2)</f>
        <v/>
      </c>
      <c r="H4" s="16" t="n">
        <v>1</v>
      </c>
      <c r="I4" s="7" t="inlineStr">
        <is>
          <t>Balanceado (En Tolerancia S&amp;OP ±10%)</t>
        </is>
      </c>
    </row>
    <row r="5">
      <c r="A5" s="7" t="inlineStr">
        <is>
          <t>FOD-BEV-DRPEP-355</t>
        </is>
      </c>
      <c r="B5" s="7" t="inlineStr">
        <is>
          <t>Bebidas &amp; Energéticas</t>
        </is>
      </c>
      <c r="C5" s="4" t="n">
        <v>44627</v>
      </c>
      <c r="D5" s="4" t="n">
        <v>42478.09</v>
      </c>
      <c r="E5" s="4">
        <f>ABS(C5-D5)</f>
        <v/>
      </c>
      <c r="F5" s="14">
        <f>ROUND(E5/C5*100, 2)</f>
        <v/>
      </c>
      <c r="G5" s="15">
        <f>ROUND((D5-C5)/C5*100, 2)</f>
        <v/>
      </c>
      <c r="H5" s="16" t="n">
        <v>1</v>
      </c>
      <c r="I5" s="7" t="inlineStr">
        <is>
          <t>Balanceado (En Tolerancia S&amp;OP ±10%)</t>
        </is>
      </c>
    </row>
    <row r="6">
      <c r="A6" s="7" t="inlineStr">
        <is>
          <t>FOD-BEV-MNST-AUS</t>
        </is>
      </c>
      <c r="B6" s="7" t="inlineStr">
        <is>
          <t>Bebidas &amp; Energéticas</t>
        </is>
      </c>
      <c r="C6" s="4" t="n">
        <v>46616</v>
      </c>
      <c r="D6" s="4" t="n">
        <v>42509.99</v>
      </c>
      <c r="E6" s="4">
        <f>ABS(C6-D6)</f>
        <v/>
      </c>
      <c r="F6" s="14">
        <f>ROUND(E6/C6*100, 2)</f>
        <v/>
      </c>
      <c r="G6" s="15">
        <f>ROUND((D6-C6)/C6*100, 2)</f>
        <v/>
      </c>
      <c r="H6" s="16" t="n">
        <v>1</v>
      </c>
      <c r="I6" s="7" t="inlineStr">
        <is>
          <t>Balanceado (En Tolerancia S&amp;OP ±10%)</t>
        </is>
      </c>
    </row>
    <row r="7">
      <c r="A7" s="7" t="inlineStr">
        <is>
          <t>FOD-BEV-MNST-PCH</t>
        </is>
      </c>
      <c r="B7" s="7" t="inlineStr">
        <is>
          <t>Bebidas &amp; Energéticas</t>
        </is>
      </c>
      <c r="C7" s="4" t="n">
        <v>44144</v>
      </c>
      <c r="D7" s="4" t="n">
        <v>42579.69</v>
      </c>
      <c r="E7" s="4">
        <f>ABS(C7-D7)</f>
        <v/>
      </c>
      <c r="F7" s="14">
        <f>ROUND(E7/C7*100, 2)</f>
        <v/>
      </c>
      <c r="G7" s="15">
        <f>ROUND((D7-C7)/C7*100, 2)</f>
        <v/>
      </c>
      <c r="H7" s="16" t="n">
        <v>1</v>
      </c>
      <c r="I7" s="7" t="inlineStr">
        <is>
          <t>Balanceado (En Tolerancia S&amp;OP ±10%)</t>
        </is>
      </c>
    </row>
    <row r="8">
      <c r="A8" s="7" t="inlineStr">
        <is>
          <t>FOD-BEV-MTN-DEW</t>
        </is>
      </c>
      <c r="B8" s="7" t="inlineStr">
        <is>
          <t>Bebidas &amp; Energéticas</t>
        </is>
      </c>
      <c r="C8" s="4" t="n">
        <v>15734</v>
      </c>
      <c r="D8" s="4" t="n">
        <v>14971.8</v>
      </c>
      <c r="E8" s="4">
        <f>ABS(C8-D8)</f>
        <v/>
      </c>
      <c r="F8" s="14">
        <f>ROUND(E8/C8*100, 2)</f>
        <v/>
      </c>
      <c r="G8" s="15">
        <f>ROUND((D8-C8)/C8*100, 2)</f>
        <v/>
      </c>
      <c r="H8" s="16" t="n">
        <v>1</v>
      </c>
      <c r="I8" s="7" t="inlineStr">
        <is>
          <t>Balanceado (En Tolerancia S&amp;OP ±10%)</t>
        </is>
      </c>
    </row>
    <row r="9">
      <c r="A9" s="7" t="inlineStr">
        <is>
          <t>FOD-BEV-SNP-PCH</t>
        </is>
      </c>
      <c r="B9" s="7" t="inlineStr">
        <is>
          <t>Bebidas &amp; Energéticas</t>
        </is>
      </c>
      <c r="C9" s="4" t="n">
        <v>3227</v>
      </c>
      <c r="D9" s="4" t="n">
        <v>3082.65</v>
      </c>
      <c r="E9" s="4">
        <f>ABS(C9-D9)</f>
        <v/>
      </c>
      <c r="F9" s="14">
        <f>ROUND(E9/C9*100, 2)</f>
        <v/>
      </c>
      <c r="G9" s="15">
        <f>ROUND((D9-C9)/C9*100, 2)</f>
        <v/>
      </c>
      <c r="H9" s="16" t="n">
        <v>1</v>
      </c>
      <c r="I9" s="7" t="inlineStr">
        <is>
          <t>Balanceado (En Tolerancia S&amp;OP ±10%)</t>
        </is>
      </c>
    </row>
    <row r="10">
      <c r="A10" s="7" t="inlineStr">
        <is>
          <t>FOD-BK-POPT-BRN</t>
        </is>
      </c>
      <c r="B10" s="7" t="inlineStr">
        <is>
          <t>Chocolates &amp; Dulces</t>
        </is>
      </c>
      <c r="C10" s="4" t="n">
        <v>17609</v>
      </c>
      <c r="D10" s="4" t="n">
        <v>19142</v>
      </c>
      <c r="E10" s="4">
        <f>ABS(C10-D10)</f>
        <v/>
      </c>
      <c r="F10" s="14">
        <f>ROUND(E10/C10*100, 2)</f>
        <v/>
      </c>
      <c r="G10" s="15">
        <f>ROUND((D10-C10)/C10*100, 2)</f>
        <v/>
      </c>
      <c r="H10" s="16" t="n">
        <v>-1</v>
      </c>
      <c r="I10" s="7" t="inlineStr">
        <is>
          <t>Balanceado (En Tolerancia S&amp;OP ±10%)</t>
        </is>
      </c>
    </row>
    <row r="11">
      <c r="A11" s="7" t="inlineStr">
        <is>
          <t>FOD-BK-POPT-STR</t>
        </is>
      </c>
      <c r="B11" s="7" t="inlineStr">
        <is>
          <t>Chocolates &amp; Dulces</t>
        </is>
      </c>
      <c r="C11" s="4" t="n">
        <v>50039</v>
      </c>
      <c r="D11" s="4" t="n">
        <v>53298.7</v>
      </c>
      <c r="E11" s="4">
        <f>ABS(C11-D11)</f>
        <v/>
      </c>
      <c r="F11" s="14">
        <f>ROUND(E11/C11*100, 2)</f>
        <v/>
      </c>
      <c r="G11" s="15">
        <f>ROUND((D11-C11)/C11*100, 2)</f>
        <v/>
      </c>
      <c r="H11" s="16" t="n">
        <v>-1</v>
      </c>
      <c r="I11" s="7" t="inlineStr">
        <is>
          <t>Balanceado (En Tolerancia S&amp;OP ±10%)</t>
        </is>
      </c>
    </row>
    <row r="12">
      <c r="A12" s="7" t="inlineStr">
        <is>
          <t>FOD-CHO-HERSH-CKC</t>
        </is>
      </c>
      <c r="B12" s="7" t="inlineStr">
        <is>
          <t>Chocolates &amp; Dulces</t>
        </is>
      </c>
      <c r="C12" s="4" t="n">
        <v>52703</v>
      </c>
      <c r="D12" s="4" t="n">
        <v>53001.86</v>
      </c>
      <c r="E12" s="4">
        <f>ABS(C12-D12)</f>
        <v/>
      </c>
      <c r="F12" s="14">
        <f>ROUND(E12/C12*100, 2)</f>
        <v/>
      </c>
      <c r="G12" s="15">
        <f>ROUND((D12-C12)/C12*100, 2)</f>
        <v/>
      </c>
      <c r="H12" s="16" t="n">
        <v>-1</v>
      </c>
      <c r="I12" s="7" t="inlineStr">
        <is>
          <t>Balanceado (En Tolerancia S&amp;OP ±10%)</t>
        </is>
      </c>
    </row>
    <row r="13">
      <c r="A13" s="7" t="inlineStr">
        <is>
          <t>FOD-CHO-MM-PNT</t>
        </is>
      </c>
      <c r="B13" s="7" t="inlineStr">
        <is>
          <t>Chocolates &amp; Dulces</t>
        </is>
      </c>
      <c r="C13" s="4" t="n">
        <v>49807</v>
      </c>
      <c r="D13" s="4" t="n">
        <v>53318.04</v>
      </c>
      <c r="E13" s="4">
        <f>ABS(C13-D13)</f>
        <v/>
      </c>
      <c r="F13" s="14">
        <f>ROUND(E13/C13*100, 2)</f>
        <v/>
      </c>
      <c r="G13" s="15">
        <f>ROUND((D13-C13)/C13*100, 2)</f>
        <v/>
      </c>
      <c r="H13" s="16" t="n">
        <v>-1</v>
      </c>
      <c r="I13" s="7" t="inlineStr">
        <is>
          <t>Balanceado (En Tolerancia S&amp;OP ±10%)</t>
        </is>
      </c>
    </row>
    <row r="14">
      <c r="A14" s="7" t="inlineStr">
        <is>
          <t>FOD-CHO-REESE-WHT</t>
        </is>
      </c>
      <c r="B14" s="7" t="inlineStr">
        <is>
          <t>Chocolates &amp; Dulces</t>
        </is>
      </c>
      <c r="C14" s="4" t="n">
        <v>18956</v>
      </c>
      <c r="D14" s="4" t="n">
        <v>18954.34</v>
      </c>
      <c r="E14" s="4">
        <f>ABS(C14-D14)</f>
        <v/>
      </c>
      <c r="F14" s="14">
        <f>ROUND(E14/C14*100, 2)</f>
        <v/>
      </c>
      <c r="G14" s="15">
        <f>ROUND((D14-C14)/C14*100, 2)</f>
        <v/>
      </c>
      <c r="H14" s="16" t="n">
        <v>1</v>
      </c>
      <c r="I14" s="7" t="inlineStr">
        <is>
          <t>Balanceado (En Tolerancia S&amp;OP ±10%)</t>
        </is>
      </c>
    </row>
    <row r="15">
      <c r="A15" s="7" t="inlineStr">
        <is>
          <t>FOD-CND-NRD-ROP</t>
        </is>
      </c>
      <c r="B15" s="7" t="inlineStr">
        <is>
          <t>Chocolates &amp; Dulces</t>
        </is>
      </c>
      <c r="C15" s="4" t="n">
        <v>17819</v>
      </c>
      <c r="D15" s="4" t="n">
        <v>19184.73</v>
      </c>
      <c r="E15" s="4">
        <f>ABS(C15-D15)</f>
        <v/>
      </c>
      <c r="F15" s="14">
        <f>ROUND(E15/C15*100, 2)</f>
        <v/>
      </c>
      <c r="G15" s="15">
        <f>ROUND((D15-C15)/C15*100, 2)</f>
        <v/>
      </c>
      <c r="H15" s="16" t="n">
        <v>-1</v>
      </c>
      <c r="I15" s="7" t="inlineStr">
        <is>
          <t>Balanceado (En Tolerancia S&amp;OP ±10%)</t>
        </is>
      </c>
    </row>
    <row r="16">
      <c r="A16" s="7" t="inlineStr">
        <is>
          <t>FOD-CND-SOUR-99G</t>
        </is>
      </c>
      <c r="B16" s="7" t="inlineStr">
        <is>
          <t>Chocolates &amp; Dulces</t>
        </is>
      </c>
      <c r="C16" s="4" t="n">
        <v>52087</v>
      </c>
      <c r="D16" s="4" t="n">
        <v>54533.76</v>
      </c>
      <c r="E16" s="4">
        <f>ABS(C16-D16)</f>
        <v/>
      </c>
      <c r="F16" s="14">
        <f>ROUND(E16/C16*100, 2)</f>
        <v/>
      </c>
      <c r="G16" s="15">
        <f>ROUND((D16-C16)/C16*100, 2)</f>
        <v/>
      </c>
      <c r="H16" s="16" t="n">
        <v>-1</v>
      </c>
      <c r="I16" s="7" t="inlineStr">
        <is>
          <t>Balanceado (En Tolerancia S&amp;OP ±10%)</t>
        </is>
      </c>
    </row>
    <row r="17">
      <c r="A17" s="7" t="inlineStr">
        <is>
          <t>FOD-CND-SWD-FSH</t>
        </is>
      </c>
      <c r="B17" s="7" t="inlineStr">
        <is>
          <t>Chocolates &amp; Dulces</t>
        </is>
      </c>
      <c r="C17" s="4" t="n">
        <v>3960</v>
      </c>
      <c r="D17" s="4" t="n">
        <v>4238.83</v>
      </c>
      <c r="E17" s="4">
        <f>ABS(C17-D17)</f>
        <v/>
      </c>
      <c r="F17" s="14">
        <f>ROUND(E17/C17*100, 2)</f>
        <v/>
      </c>
      <c r="G17" s="15">
        <f>ROUND((D17-C17)/C17*100, 2)</f>
        <v/>
      </c>
      <c r="H17" s="16" t="n">
        <v>-1</v>
      </c>
      <c r="I17" s="7" t="inlineStr">
        <is>
          <t>Balanceado (En Tolerancia S&amp;OP ±10%)</t>
        </is>
      </c>
    </row>
    <row r="18">
      <c r="A18" s="7" t="inlineStr">
        <is>
          <t>FOD-CND-TWZ-STR</t>
        </is>
      </c>
      <c r="B18" s="7" t="inlineStr">
        <is>
          <t>Chocolates &amp; Dulces</t>
        </is>
      </c>
      <c r="C18" s="4" t="n">
        <v>3716</v>
      </c>
      <c r="D18" s="4" t="n">
        <v>4143.22</v>
      </c>
      <c r="E18" s="4">
        <f>ABS(C18-D18)</f>
        <v/>
      </c>
      <c r="F18" s="14">
        <f>ROUND(E18/C18*100, 2)</f>
        <v/>
      </c>
      <c r="G18" s="15">
        <f>ROUND((D18-C18)/C18*100, 2)</f>
        <v/>
      </c>
      <c r="H18" s="16" t="n">
        <v>-1</v>
      </c>
      <c r="I18" s="7" t="inlineStr">
        <is>
          <t>Sobre-pronóstico Crítico (Riesgo Sobrestock y Merma)</t>
        </is>
      </c>
    </row>
    <row r="19">
      <c r="A19" s="7" t="inlineStr">
        <is>
          <t>FOD-GRO-KRAFT-206</t>
        </is>
      </c>
      <c r="B19" s="7" t="inlineStr">
        <is>
          <t>Despensa &amp; Salsas</t>
        </is>
      </c>
      <c r="C19" s="4" t="n">
        <v>42459</v>
      </c>
      <c r="D19" s="4" t="n">
        <v>41841.47</v>
      </c>
      <c r="E19" s="4">
        <f>ABS(C19-D19)</f>
        <v/>
      </c>
      <c r="F19" s="14">
        <f>ROUND(E19/C19*100, 2)</f>
        <v/>
      </c>
      <c r="G19" s="15">
        <f>ROUND((D19-C19)/C19*100, 2)</f>
        <v/>
      </c>
      <c r="H19" s="16" t="n">
        <v>1</v>
      </c>
      <c r="I19" s="7" t="inlineStr">
        <is>
          <t>Balanceado (En Tolerancia S&amp;OP ±10%)</t>
        </is>
      </c>
    </row>
    <row r="20">
      <c r="A20" s="7" t="inlineStr">
        <is>
          <t>FOD-GRO-KRAFT-DLX</t>
        </is>
      </c>
      <c r="B20" s="7" t="inlineStr">
        <is>
          <t>Despensa &amp; Salsas</t>
        </is>
      </c>
      <c r="C20" s="4" t="n">
        <v>14311</v>
      </c>
      <c r="D20" s="4" t="n">
        <v>14841.26</v>
      </c>
      <c r="E20" s="4">
        <f>ABS(C20-D20)</f>
        <v/>
      </c>
      <c r="F20" s="14">
        <f>ROUND(E20/C20*100, 2)</f>
        <v/>
      </c>
      <c r="G20" s="15">
        <f>ROUND((D20-C20)/C20*100, 2)</f>
        <v/>
      </c>
      <c r="H20" s="16" t="n">
        <v>-1</v>
      </c>
      <c r="I20" s="7" t="inlineStr">
        <is>
          <t>Balanceado (En Tolerancia S&amp;OP ±10%)</t>
        </is>
      </c>
    </row>
    <row r="21">
      <c r="A21" s="7" t="inlineStr">
        <is>
          <t>FOD-SAU-FRK-HOT</t>
        </is>
      </c>
      <c r="B21" s="7" t="inlineStr">
        <is>
          <t>Despensa &amp; Salsas</t>
        </is>
      </c>
      <c r="C21" s="4" t="n">
        <v>14256</v>
      </c>
      <c r="D21" s="4" t="n">
        <v>14843.38</v>
      </c>
      <c r="E21" s="4">
        <f>ABS(C21-D21)</f>
        <v/>
      </c>
      <c r="F21" s="14">
        <f>ROUND(E21/C21*100, 2)</f>
        <v/>
      </c>
      <c r="G21" s="15">
        <f>ROUND((D21-C21)/C21*100, 2)</f>
        <v/>
      </c>
      <c r="H21" s="16" t="n">
        <v>-1</v>
      </c>
      <c r="I21" s="7" t="inlineStr">
        <is>
          <t>Balanceado (En Tolerancia S&amp;OP ±10%)</t>
        </is>
      </c>
    </row>
    <row r="22">
      <c r="A22" s="7" t="inlineStr">
        <is>
          <t>FOD-SAU-HDN-RNC</t>
        </is>
      </c>
      <c r="B22" s="7" t="inlineStr">
        <is>
          <t>Despensa &amp; Salsas</t>
        </is>
      </c>
      <c r="C22" s="4" t="n">
        <v>14317</v>
      </c>
      <c r="D22" s="4" t="n">
        <v>14845.39</v>
      </c>
      <c r="E22" s="4">
        <f>ABS(C22-D22)</f>
        <v/>
      </c>
      <c r="F22" s="14">
        <f>ROUND(E22/C22*100, 2)</f>
        <v/>
      </c>
      <c r="G22" s="15">
        <f>ROUND((D22-C22)/C22*100, 2)</f>
        <v/>
      </c>
      <c r="H22" s="16" t="n">
        <v>-1</v>
      </c>
      <c r="I22" s="7" t="inlineStr">
        <is>
          <t>Balanceado (En Tolerancia S&amp;OP ±10%)</t>
        </is>
      </c>
    </row>
    <row r="23">
      <c r="A23" s="7" t="inlineStr">
        <is>
          <t>FOD-SAU-HNZ-MST</t>
        </is>
      </c>
      <c r="B23" s="7" t="inlineStr">
        <is>
          <t>Despensa &amp; Salsas</t>
        </is>
      </c>
      <c r="C23" s="4" t="n">
        <v>2766</v>
      </c>
      <c r="D23" s="4" t="n">
        <v>2951.23</v>
      </c>
      <c r="E23" s="4">
        <f>ABS(C23-D23)</f>
        <v/>
      </c>
      <c r="F23" s="14">
        <f>ROUND(E23/C23*100, 2)</f>
        <v/>
      </c>
      <c r="G23" s="15">
        <f>ROUND((D23-C23)/C23*100, 2)</f>
        <v/>
      </c>
      <c r="H23" s="16" t="n">
        <v>-1</v>
      </c>
      <c r="I23" s="7" t="inlineStr">
        <is>
          <t>Balanceado (En Tolerancia S&amp;OP ±10%)</t>
        </is>
      </c>
    </row>
    <row r="24">
      <c r="A24" s="7" t="inlineStr">
        <is>
          <t>FOD-SAU-SBR-BBQ</t>
        </is>
      </c>
      <c r="B24" s="7" t="inlineStr">
        <is>
          <t>Despensa &amp; Salsas</t>
        </is>
      </c>
      <c r="C24" s="4" t="n">
        <v>40598</v>
      </c>
      <c r="D24" s="4" t="n">
        <v>41480.47</v>
      </c>
      <c r="E24" s="4">
        <f>ABS(C24-D24)</f>
        <v/>
      </c>
      <c r="F24" s="14">
        <f>ROUND(E24/C24*100, 2)</f>
        <v/>
      </c>
      <c r="G24" s="15">
        <f>ROUND((D24-C24)/C24*100, 2)</f>
        <v/>
      </c>
      <c r="H24" s="16" t="n">
        <v>-1</v>
      </c>
      <c r="I24" s="7" t="inlineStr">
        <is>
          <t>Balanceado (En Tolerancia S&amp;OP ±10%)</t>
        </is>
      </c>
    </row>
    <row r="25">
      <c r="A25" s="7" t="inlineStr">
        <is>
          <t>FOD-SNK-CHTS-226</t>
        </is>
      </c>
      <c r="B25" s="7" t="inlineStr">
        <is>
          <t>Snacks &amp; Salados</t>
        </is>
      </c>
      <c r="C25" s="4" t="n">
        <v>40537</v>
      </c>
      <c r="D25" s="4" t="n">
        <v>41863.69</v>
      </c>
      <c r="E25" s="4">
        <f>ABS(C25-D25)</f>
        <v/>
      </c>
      <c r="F25" s="14">
        <f>ROUND(E25/C25*100, 2)</f>
        <v/>
      </c>
      <c r="G25" s="15">
        <f>ROUND((D25-C25)/C25*100, 2)</f>
        <v/>
      </c>
      <c r="H25" s="16" t="n">
        <v>-1</v>
      </c>
      <c r="I25" s="7" t="inlineStr">
        <is>
          <t>Balanceado (En Tolerancia S&amp;OP ±10%)</t>
        </is>
      </c>
    </row>
    <row r="26">
      <c r="A26" s="7" t="inlineStr">
        <is>
          <t>FOD-SNK-CHTS-JAL</t>
        </is>
      </c>
      <c r="B26" s="7" t="inlineStr">
        <is>
          <t>Snacks &amp; Salados</t>
        </is>
      </c>
      <c r="C26" s="4" t="n">
        <v>44770</v>
      </c>
      <c r="D26" s="4" t="n">
        <v>42221.21</v>
      </c>
      <c r="E26" s="4">
        <f>ABS(C26-D26)</f>
        <v/>
      </c>
      <c r="F26" s="14">
        <f>ROUND(E26/C26*100, 2)</f>
        <v/>
      </c>
      <c r="G26" s="15">
        <f>ROUND((D26-C26)/C26*100, 2)</f>
        <v/>
      </c>
      <c r="H26" s="16" t="n">
        <v>1</v>
      </c>
      <c r="I26" s="7" t="inlineStr">
        <is>
          <t>Balanceado (En Tolerancia S&amp;OP ±10%)</t>
        </is>
      </c>
    </row>
    <row r="27">
      <c r="A27" s="7" t="inlineStr">
        <is>
          <t>FOD-SNK-CMB-PIZ</t>
        </is>
      </c>
      <c r="B27" s="7" t="inlineStr">
        <is>
          <t>Snacks &amp; Salados</t>
        </is>
      </c>
      <c r="C27" s="4" t="n">
        <v>14444</v>
      </c>
      <c r="D27" s="4" t="n">
        <v>15005.14</v>
      </c>
      <c r="E27" s="4">
        <f>ABS(C27-D27)</f>
        <v/>
      </c>
      <c r="F27" s="14">
        <f>ROUND(E27/C27*100, 2)</f>
        <v/>
      </c>
      <c r="G27" s="15">
        <f>ROUND((D27-C27)/C27*100, 2)</f>
        <v/>
      </c>
      <c r="H27" s="16" t="n">
        <v>-1</v>
      </c>
      <c r="I27" s="7" t="inlineStr">
        <is>
          <t>Balanceado (En Tolerancia S&amp;OP ±10%)</t>
        </is>
      </c>
    </row>
    <row r="28">
      <c r="A28" s="7" t="inlineStr">
        <is>
          <t>FOD-SNK-DOR-CLR</t>
        </is>
      </c>
      <c r="B28" s="7" t="inlineStr">
        <is>
          <t>Snacks &amp; Salados</t>
        </is>
      </c>
      <c r="C28" s="4" t="n">
        <v>40382</v>
      </c>
      <c r="D28" s="4" t="n">
        <v>41840.77</v>
      </c>
      <c r="E28" s="4">
        <f>ABS(C28-D28)</f>
        <v/>
      </c>
      <c r="F28" s="14">
        <f>ROUND(E28/C28*100, 2)</f>
        <v/>
      </c>
      <c r="G28" s="15">
        <f>ROUND((D28-C28)/C28*100, 2)</f>
        <v/>
      </c>
      <c r="H28" s="16" t="n">
        <v>-1</v>
      </c>
      <c r="I28" s="7" t="inlineStr">
        <is>
          <t>Balanceado (En Tolerancia S&amp;OP ±10%)</t>
        </is>
      </c>
    </row>
    <row r="29">
      <c r="A29" s="7" t="inlineStr">
        <is>
          <t>FOD-SNK-PRG-PIZ</t>
        </is>
      </c>
      <c r="B29" s="7" t="inlineStr">
        <is>
          <t>Snacks &amp; Salados</t>
        </is>
      </c>
      <c r="C29" s="4" t="n">
        <v>14314</v>
      </c>
      <c r="D29" s="4" t="n">
        <v>14902.02</v>
      </c>
      <c r="E29" s="4">
        <f>ABS(C29-D29)</f>
        <v/>
      </c>
      <c r="F29" s="14">
        <f>ROUND(E29/C29*100, 2)</f>
        <v/>
      </c>
      <c r="G29" s="15">
        <f>ROUND((D29-C29)/C29*100, 2)</f>
        <v/>
      </c>
      <c r="H29" s="16" t="n">
        <v>-1</v>
      </c>
      <c r="I29" s="7" t="inlineStr">
        <is>
          <t>Balanceado (En Tolerancia S&amp;OP ±10%)</t>
        </is>
      </c>
    </row>
    <row r="30">
      <c r="A30" s="7" t="inlineStr">
        <is>
          <t>FOD-SNK-PRG-SRC</t>
        </is>
      </c>
      <c r="B30" s="7" t="inlineStr">
        <is>
          <t>Snacks &amp; Salados</t>
        </is>
      </c>
      <c r="C30" s="4" t="n">
        <v>40613</v>
      </c>
      <c r="D30" s="4" t="n">
        <v>41955</v>
      </c>
      <c r="E30" s="4">
        <f>ABS(C30-D30)</f>
        <v/>
      </c>
      <c r="F30" s="14">
        <f>ROUND(E30/C30*100, 2)</f>
        <v/>
      </c>
      <c r="G30" s="15">
        <f>ROUND((D30-C30)/C30*100, 2)</f>
        <v/>
      </c>
      <c r="H30" s="16" t="n">
        <v>-1</v>
      </c>
      <c r="I30" s="7" t="inlineStr">
        <is>
          <t>Balanceado (En Tolerancia S&amp;OP ±10%)</t>
        </is>
      </c>
    </row>
    <row r="31">
      <c r="A31" s="7" t="inlineStr">
        <is>
          <t>FOD-SNK-REESE-42G</t>
        </is>
      </c>
      <c r="B31" s="7" t="inlineStr">
        <is>
          <t>Chocolates &amp; Dulces</t>
        </is>
      </c>
      <c r="C31" s="4" t="n">
        <v>52419</v>
      </c>
      <c r="D31" s="4" t="n">
        <v>53125.25</v>
      </c>
      <c r="E31" s="4">
        <f>ABS(C31-D31)</f>
        <v/>
      </c>
      <c r="F31" s="14">
        <f>ROUND(E31/C31*100, 2)</f>
        <v/>
      </c>
      <c r="G31" s="15">
        <f>ROUND((D31-C31)/C31*100, 2)</f>
        <v/>
      </c>
      <c r="H31" s="16" t="n">
        <v>-1</v>
      </c>
      <c r="I31" s="7" t="inlineStr">
        <is>
          <t>Balanceado (En Tolerancia S&amp;OP ±10%)</t>
        </is>
      </c>
    </row>
    <row r="32">
      <c r="A32" s="7" t="inlineStr">
        <is>
          <t>FOD-SNK-SNY-HNY</t>
        </is>
      </c>
      <c r="B32" s="7" t="inlineStr">
        <is>
          <t>Snacks &amp; Salados</t>
        </is>
      </c>
      <c r="C32" s="4" t="n">
        <v>14247</v>
      </c>
      <c r="D32" s="4" t="n">
        <v>14925.32</v>
      </c>
      <c r="E32" s="4">
        <f>ABS(C32-D32)</f>
        <v/>
      </c>
      <c r="F32" s="14">
        <f>ROUND(E32/C32*100, 2)</f>
        <v/>
      </c>
      <c r="G32" s="15">
        <f>ROUND((D32-C32)/C32*100, 2)</f>
        <v/>
      </c>
      <c r="H32" s="16" t="n">
        <v>-1</v>
      </c>
      <c r="I32" s="7" t="inlineStr">
        <is>
          <t>Balanceado (En Tolerancia S&amp;OP ±10%)</t>
        </is>
      </c>
    </row>
    <row r="33">
      <c r="A33" s="7" t="inlineStr">
        <is>
          <t>FOD-SNK-TAK-FUE</t>
        </is>
      </c>
      <c r="B33" s="7" t="inlineStr">
        <is>
          <t>Snacks &amp; Salados</t>
        </is>
      </c>
      <c r="C33" s="4" t="n">
        <v>42129</v>
      </c>
      <c r="D33" s="4" t="n">
        <v>41806.1</v>
      </c>
      <c r="E33" s="4">
        <f>ABS(C33-D33)</f>
        <v/>
      </c>
      <c r="F33" s="14">
        <f>ROUND(E33/C33*100, 2)</f>
        <v/>
      </c>
      <c r="G33" s="15">
        <f>ROUND((D33-C33)/C33*100, 2)</f>
        <v/>
      </c>
      <c r="H33" s="16" t="n">
        <v>1</v>
      </c>
      <c r="I33" s="7" t="inlineStr">
        <is>
          <t>Balanceado (En Tolerancia S&amp;OP ±10%)</t>
        </is>
      </c>
    </row>
    <row r="34">
      <c r="A34" s="7" t="inlineStr">
        <is>
          <t>FOD-SOU-CMP-TOM</t>
        </is>
      </c>
      <c r="B34" s="7" t="inlineStr">
        <is>
          <t>Despensa &amp; Salsas</t>
        </is>
      </c>
      <c r="C34" s="4" t="n">
        <v>3018</v>
      </c>
      <c r="D34" s="4" t="n">
        <v>2987.95</v>
      </c>
      <c r="E34" s="4">
        <f>ABS(C34-D34)</f>
        <v/>
      </c>
      <c r="F34" s="14">
        <f>ROUND(E34/C34*100, 2)</f>
        <v/>
      </c>
      <c r="G34" s="15">
        <f>ROUND((D34-C34)/C34*100, 2)</f>
        <v/>
      </c>
      <c r="H34" s="16" t="n">
        <v>1</v>
      </c>
      <c r="I34" s="7" t="inlineStr">
        <is>
          <t>Balanceado (En Tolerancia S&amp;OP ±10%)</t>
        </is>
      </c>
    </row>
    <row r="35">
      <c r="A35" s="7" t="inlineStr">
        <is>
          <t>FOD-SPR-SKP-PNT</t>
        </is>
      </c>
      <c r="B35" s="7" t="inlineStr">
        <is>
          <t>Despensa &amp; Salsas</t>
        </is>
      </c>
      <c r="C35" s="4" t="n">
        <v>14100</v>
      </c>
      <c r="D35" s="4" t="n">
        <v>14738.18</v>
      </c>
      <c r="E35" s="4">
        <f>ABS(C35-D35)</f>
        <v/>
      </c>
      <c r="F35" s="14">
        <f>ROUND(E35/C35*100, 2)</f>
        <v/>
      </c>
      <c r="G35" s="15">
        <f>ROUND((D35-C35)/C35*100, 2)</f>
        <v/>
      </c>
      <c r="H35" s="16" t="n">
        <v>-1</v>
      </c>
      <c r="I35" s="7" t="inlineStr">
        <is>
          <t>Balanceado (En Tolerancia S&amp;OP ±10%)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64" customWidth="1" min="3" max="3"/>
    <col width="19" customWidth="1" min="4" max="4"/>
    <col width="20" customWidth="1" min="5" max="5"/>
    <col width="16" customWidth="1" min="6" max="6"/>
    <col width="28" customWidth="1" min="7" max="7"/>
    <col width="21" customWidth="1" min="8" max="8"/>
    <col width="19" customWidth="1" min="9" max="9"/>
    <col width="24" customWidth="1" min="10" max="10"/>
    <col width="51" customWidth="1" min="11" max="11"/>
    <col width="100" customWidth="1" min="12" max="12"/>
  </cols>
  <sheetData>
    <row r="1">
      <c r="A1" s="17" t="inlineStr">
        <is>
          <t>ID Lote</t>
        </is>
      </c>
      <c r="B1" s="17" t="inlineStr">
        <is>
          <t>SKU</t>
        </is>
      </c>
      <c r="C1" s="17" t="inlineStr">
        <is>
          <t>Producto</t>
        </is>
      </c>
      <c r="D1" s="17" t="inlineStr">
        <is>
          <t>Unidades en Lote</t>
        </is>
      </c>
      <c r="E1" s="17" t="inlineStr">
        <is>
          <t>Fecha Vencimiento</t>
        </is>
      </c>
      <c r="F1" s="17" t="inlineStr">
        <is>
          <t>Días a Vencer</t>
        </is>
      </c>
      <c r="G1" s="17" t="inlineStr">
        <is>
          <t>Venta Proy. a Vencimiento</t>
        </is>
      </c>
      <c r="H1" s="17" t="inlineStr">
        <is>
          <t>Unidades en Riesgo</t>
        </is>
      </c>
      <c r="I1" s="17" t="inlineStr">
        <is>
          <t>Costo Unit (CLP)</t>
        </is>
      </c>
      <c r="J1" s="17" t="inlineStr">
        <is>
          <t>Riesgo Financiero ($)</t>
        </is>
      </c>
      <c r="K1" s="17" t="inlineStr">
        <is>
          <t>Semáforo Urgencia</t>
        </is>
      </c>
      <c r="L1" s="17" t="inlineStr">
        <is>
          <t>Recomendación Operativa</t>
        </is>
      </c>
    </row>
    <row r="2">
      <c r="A2" s="7" t="inlineStr">
        <is>
          <t>BTC-1065-CRIT</t>
        </is>
      </c>
      <c r="B2" s="7" t="inlineStr">
        <is>
          <t>FOD-SAU-HNZ-MST</t>
        </is>
      </c>
      <c r="C2" s="7" t="inlineStr">
        <is>
          <t>Heinz Yellow Mustard Squeeze Bottle USA 396g</t>
        </is>
      </c>
      <c r="D2" s="4" t="n">
        <v>3120</v>
      </c>
      <c r="E2" s="3" t="inlineStr">
        <is>
          <t>2026-10-26</t>
        </is>
      </c>
      <c r="F2" s="4" t="n">
        <v>26</v>
      </c>
      <c r="G2" s="4" t="n">
        <v>184</v>
      </c>
      <c r="H2" s="4" t="n">
        <v>2936</v>
      </c>
      <c r="I2" s="5" t="n">
        <v>1400</v>
      </c>
      <c r="J2" s="5">
        <f>H2*I2</f>
        <v/>
      </c>
      <c r="K2" s="7" t="inlineStr">
        <is>
          <t>CRÍTICO: Liquidar Inmediato (Riesgo Merma Total)</t>
        </is>
      </c>
      <c r="L2" s="7" t="inlineStr">
        <is>
          <t>Activar 30% descuento promocional o transferir 2936 u. a sucursales Metro de alto flujo.</t>
        </is>
      </c>
    </row>
    <row r="3">
      <c r="A3" s="7" t="inlineStr">
        <is>
          <t>BTC-1045-CRIT</t>
        </is>
      </c>
      <c r="B3" s="7" t="inlineStr">
        <is>
          <t>FOD-CND-SWD-FSH</t>
        </is>
      </c>
      <c r="C3" s="7" t="inlineStr">
        <is>
          <t>Swedish Fish Red Theater Box Candy 99g</t>
        </is>
      </c>
      <c r="D3" s="4" t="n">
        <v>3600</v>
      </c>
      <c r="E3" s="3" t="inlineStr">
        <is>
          <t>2026-10-26</t>
        </is>
      </c>
      <c r="F3" s="4" t="n">
        <v>26</v>
      </c>
      <c r="G3" s="4" t="n">
        <v>264</v>
      </c>
      <c r="H3" s="4" t="n">
        <v>3336</v>
      </c>
      <c r="I3" s="5" t="n">
        <v>1100</v>
      </c>
      <c r="J3" s="5">
        <f>H3*I3</f>
        <v/>
      </c>
      <c r="K3" s="7" t="inlineStr">
        <is>
          <t>CRÍTICO: Liquidar Inmediato (Riesgo Merma Total)</t>
        </is>
      </c>
      <c r="L3" s="7" t="inlineStr">
        <is>
          <t>Activar 30% descuento promocional o transferir 3336 u. a sucursales Metro de alto flujo.</t>
        </is>
      </c>
    </row>
    <row r="4">
      <c r="A4" s="7" t="inlineStr">
        <is>
          <t>BTC-1027</t>
        </is>
      </c>
      <c r="B4" s="7" t="inlineStr">
        <is>
          <t>FOD-BEV-MTN-DEW</t>
        </is>
      </c>
      <c r="C4" s="7" t="inlineStr">
        <is>
          <t>Mountain Dew Real Sugar Citrus Soda 355ml</t>
        </is>
      </c>
      <c r="D4" s="4" t="n">
        <v>5184</v>
      </c>
      <c r="E4" s="3" t="inlineStr">
        <is>
          <t>2026-11-28</t>
        </is>
      </c>
      <c r="F4" s="4" t="n">
        <v>59</v>
      </c>
      <c r="G4" s="4" t="n">
        <v>2123</v>
      </c>
      <c r="H4" s="4" t="n">
        <v>3061</v>
      </c>
      <c r="I4" s="5" t="n">
        <v>980</v>
      </c>
      <c r="J4" s="5">
        <f>H4*I4</f>
        <v/>
      </c>
      <c r="K4" s="7" t="inlineStr">
        <is>
          <t>CRÍTICO: Liquidar Inmediato (Riesgo Merma Total)</t>
        </is>
      </c>
      <c r="L4" s="7" t="inlineStr">
        <is>
          <t>Activar 30% descuento promocional o transferir 3061 u. a sucursales Metro de alto flujo.</t>
        </is>
      </c>
    </row>
    <row r="5">
      <c r="A5" s="7" t="inlineStr">
        <is>
          <t>BTC-1033-CRIT</t>
        </is>
      </c>
      <c r="B5" s="7" t="inlineStr">
        <is>
          <t>FOD-BEV-SNP-PCH</t>
        </is>
      </c>
      <c r="C5" s="7" t="inlineStr">
        <is>
          <t>Snapple Peach Tea Real Brewed 473ml</t>
        </is>
      </c>
      <c r="D5" s="4" t="n">
        <v>2304</v>
      </c>
      <c r="E5" s="3" t="inlineStr">
        <is>
          <t>2026-11-02</t>
        </is>
      </c>
      <c r="F5" s="4" t="n">
        <v>33</v>
      </c>
      <c r="G5" s="4" t="n">
        <v>244</v>
      </c>
      <c r="H5" s="4" t="n">
        <v>2060</v>
      </c>
      <c r="I5" s="5" t="n">
        <v>1350</v>
      </c>
      <c r="J5" s="5">
        <f>H5*I5</f>
        <v/>
      </c>
      <c r="K5" s="7" t="inlineStr">
        <is>
          <t>CRÍTICO: Liquidar Inmediato (Riesgo Merma Total)</t>
        </is>
      </c>
      <c r="L5" s="7" t="inlineStr">
        <is>
          <t>Activar 30% descuento promocional o transferir 2060 u. a sucursales Metro de alto flujo.</t>
        </is>
      </c>
    </row>
    <row r="6">
      <c r="A6" s="7" t="inlineStr">
        <is>
          <t>BTC-1037</t>
        </is>
      </c>
      <c r="B6" s="7" t="inlineStr">
        <is>
          <t>FOD-CHO-REESE-WHT</t>
        </is>
      </c>
      <c r="C6" s="7" t="inlineStr">
        <is>
          <t>Reese's White Chocolate Peanut Butter Cups 42g</t>
        </is>
      </c>
      <c r="D6" s="4" t="n">
        <v>5760</v>
      </c>
      <c r="E6" s="3" t="inlineStr">
        <is>
          <t>2026-11-28</t>
        </is>
      </c>
      <c r="F6" s="4" t="n">
        <v>59</v>
      </c>
      <c r="G6" s="4" t="n">
        <v>2688</v>
      </c>
      <c r="H6" s="4" t="n">
        <v>3072</v>
      </c>
      <c r="I6" s="5" t="n">
        <v>820</v>
      </c>
      <c r="J6" s="5">
        <f>H6*I6</f>
        <v/>
      </c>
      <c r="K6" s="7" t="inlineStr">
        <is>
          <t>CRÍTICO: Liquidar Inmediato (Riesgo Merma Total)</t>
        </is>
      </c>
      <c r="L6" s="7" t="inlineStr">
        <is>
          <t>Activar 30% descuento promocional o transferir 3072 u. a sucursales Metro de alto flujo.</t>
        </is>
      </c>
    </row>
    <row r="7">
      <c r="A7" s="7" t="inlineStr">
        <is>
          <t>BTC-1017-CRIT</t>
        </is>
      </c>
      <c r="B7" s="7" t="inlineStr">
        <is>
          <t>FOD-SNK-CMB-PIZ</t>
        </is>
      </c>
      <c r="C7" s="7" t="inlineStr">
        <is>
          <t>Combos Pizzeria Pretzel Baked Snacks 178g</t>
        </is>
      </c>
      <c r="D7" s="4" t="n">
        <v>2430</v>
      </c>
      <c r="E7" s="3" t="inlineStr">
        <is>
          <t>2026-10-29</t>
        </is>
      </c>
      <c r="F7" s="4" t="n">
        <v>29</v>
      </c>
      <c r="G7" s="4" t="n">
        <v>1046</v>
      </c>
      <c r="H7" s="4" t="n">
        <v>1384</v>
      </c>
      <c r="I7" s="5" t="n">
        <v>1800</v>
      </c>
      <c r="J7" s="5">
        <f>H7*I7</f>
        <v/>
      </c>
      <c r="K7" s="7" t="inlineStr">
        <is>
          <t>CRÍTICO: Liquidar Inmediato (Riesgo Merma Total)</t>
        </is>
      </c>
      <c r="L7" s="7" t="inlineStr">
        <is>
          <t>Activar 30% descuento promocional o transferir 1384 u. a sucursales Metro de alto flujo.</t>
        </is>
      </c>
    </row>
    <row r="8">
      <c r="A8" s="7" t="inlineStr">
        <is>
          <t>BTC-1068</t>
        </is>
      </c>
      <c r="B8" s="7" t="inlineStr">
        <is>
          <t>FOD-SOU-CMP-TOM</t>
        </is>
      </c>
      <c r="C8" s="7" t="inlineStr">
        <is>
          <t>Campbell's Condensed Tomato Soup 305g</t>
        </is>
      </c>
      <c r="D8" s="4" t="n">
        <v>5376</v>
      </c>
      <c r="E8" s="3" t="inlineStr">
        <is>
          <t>2028-01-24</t>
        </is>
      </c>
      <c r="F8" s="4" t="n">
        <v>481</v>
      </c>
      <c r="G8" s="4" t="n">
        <v>3454</v>
      </c>
      <c r="H8" s="4" t="n">
        <v>1922</v>
      </c>
      <c r="I8" s="5" t="n">
        <v>1250</v>
      </c>
      <c r="J8" s="5">
        <f>H8*I8</f>
        <v/>
      </c>
      <c r="K8" s="7" t="inlineStr">
        <is>
          <t>CRÍTICO: Liquidar Inmediato (Riesgo Merma Total)</t>
        </is>
      </c>
      <c r="L8" s="7" t="inlineStr">
        <is>
          <t>Activar 30% descuento promocional o transferir 1922 u. a sucursales Metro de alto flujo.</t>
        </is>
      </c>
    </row>
    <row r="9">
      <c r="A9" s="7" t="inlineStr">
        <is>
          <t>BTC-1029</t>
        </is>
      </c>
      <c r="B9" s="7" t="inlineStr">
        <is>
          <t>FOD-BEV-AW-ROOT</t>
        </is>
      </c>
      <c r="C9" s="7" t="inlineStr">
        <is>
          <t>A&amp;W Root Beer Aged Vanilla Lata 355ml</t>
        </is>
      </c>
      <c r="D9" s="4" t="n">
        <v>5184</v>
      </c>
      <c r="E9" s="3" t="inlineStr">
        <is>
          <t>2026-12-25</t>
        </is>
      </c>
      <c r="F9" s="4" t="n">
        <v>86</v>
      </c>
      <c r="G9" s="4" t="n">
        <v>3125</v>
      </c>
      <c r="H9" s="4" t="n">
        <v>2059</v>
      </c>
      <c r="I9" s="5" t="n">
        <v>950</v>
      </c>
      <c r="J9" s="5">
        <f>H9*I9</f>
        <v/>
      </c>
      <c r="K9" s="7" t="inlineStr">
        <is>
          <t>CRÍTICO: Liquidar Inmediato (Riesgo Merma Total)</t>
        </is>
      </c>
      <c r="L9" s="7" t="inlineStr">
        <is>
          <t>Activar 30% descuento promocional o transferir 2059 u. a sucursales Metro de alto flujo.</t>
        </is>
      </c>
    </row>
    <row r="10">
      <c r="A10" s="7" t="inlineStr">
        <is>
          <t>BTC-1036</t>
        </is>
      </c>
      <c r="B10" s="7" t="inlineStr">
        <is>
          <t>FOD-CHO-REESE-WHT</t>
        </is>
      </c>
      <c r="C10" s="7" t="inlineStr">
        <is>
          <t>Reese's White Chocolate Peanut Butter Cups 42g</t>
        </is>
      </c>
      <c r="D10" s="4" t="n">
        <v>11520</v>
      </c>
      <c r="E10" s="3" t="inlineStr">
        <is>
          <t>2027-04-22</t>
        </is>
      </c>
      <c r="F10" s="4" t="n">
        <v>204</v>
      </c>
      <c r="G10" s="4" t="n">
        <v>9294</v>
      </c>
      <c r="H10" s="4" t="n">
        <v>2226</v>
      </c>
      <c r="I10" s="5" t="n">
        <v>820</v>
      </c>
      <c r="J10" s="5">
        <f>H10*I10</f>
        <v/>
      </c>
      <c r="K10" s="7" t="inlineStr">
        <is>
          <t>CRÍTICO: Liquidar Inmediato (Riesgo Merma Total)</t>
        </is>
      </c>
      <c r="L10" s="7" t="inlineStr">
        <is>
          <t>Activar 30% descuento promocional o transferir 2226 u. a sucursales Metro de alto flujo.</t>
        </is>
      </c>
    </row>
    <row r="11">
      <c r="A11" s="7" t="inlineStr">
        <is>
          <t>BTC-1052-CRIT</t>
        </is>
      </c>
      <c r="B11" s="7" t="inlineStr">
        <is>
          <t>FOD-BK-POPT-BRN</t>
        </is>
      </c>
      <c r="C11" s="7" t="inlineStr">
        <is>
          <t>Pop-Tarts Frosted Brown Sugar Cinnamon 8pk 384g</t>
        </is>
      </c>
      <c r="D11" s="4" t="n">
        <v>1728</v>
      </c>
      <c r="E11" s="3" t="inlineStr">
        <is>
          <t>2026-10-26</t>
        </is>
      </c>
      <c r="F11" s="4" t="n">
        <v>26</v>
      </c>
      <c r="G11" s="4" t="n">
        <v>1196</v>
      </c>
      <c r="H11" s="4" t="n">
        <v>532</v>
      </c>
      <c r="I11" s="5" t="n">
        <v>2700</v>
      </c>
      <c r="J11" s="5">
        <f>H11*I11</f>
        <v/>
      </c>
      <c r="K11" s="7" t="inlineStr">
        <is>
          <t>CRÍTICO: Liquidar Inmediato (Riesgo Merma Total)</t>
        </is>
      </c>
      <c r="L11" s="7" t="inlineStr">
        <is>
          <t>Activar 30% descuento promocional o transferir 532 u. a sucursales Metro de alto flujo.</t>
        </is>
      </c>
    </row>
    <row r="12">
      <c r="A12" s="7" t="inlineStr">
        <is>
          <t>BTC-1032</t>
        </is>
      </c>
      <c r="B12" s="7" t="inlineStr">
        <is>
          <t>FOD-BEV-SNP-PCH</t>
        </is>
      </c>
      <c r="C12" s="7" t="inlineStr">
        <is>
          <t>Snapple Peach Tea Real Brewed 473ml</t>
        </is>
      </c>
      <c r="D12" s="4" t="n">
        <v>3072</v>
      </c>
      <c r="E12" s="3" t="inlineStr">
        <is>
          <t>2027-07-03</t>
        </is>
      </c>
      <c r="F12" s="4" t="n">
        <v>276</v>
      </c>
      <c r="G12" s="4" t="n">
        <v>2045</v>
      </c>
      <c r="H12" s="4" t="n">
        <v>1027</v>
      </c>
      <c r="I12" s="5" t="n">
        <v>1350</v>
      </c>
      <c r="J12" s="5">
        <f>H12*I12</f>
        <v/>
      </c>
      <c r="K12" s="7" t="inlineStr">
        <is>
          <t>CRÍTICO: Liquidar Inmediato (Riesgo Merma Total)</t>
        </is>
      </c>
      <c r="L12" s="7" t="inlineStr">
        <is>
          <t>Activar 30% descuento promocional o transferir 1027 u. a sucursales Metro de alto flujo.</t>
        </is>
      </c>
    </row>
    <row r="13">
      <c r="A13" s="7" t="inlineStr">
        <is>
          <t>BTC-1039</t>
        </is>
      </c>
      <c r="B13" s="7" t="inlineStr">
        <is>
          <t>FOD-CHO-HERSH-CKC</t>
        </is>
      </c>
      <c r="C13" s="7" t="inlineStr">
        <is>
          <t>Hershey's Cookies 'n' Creme Candy Bar 43g</t>
        </is>
      </c>
      <c r="D13" s="4" t="n">
        <v>8640</v>
      </c>
      <c r="E13" s="3" t="inlineStr">
        <is>
          <t>2026-11-24</t>
        </is>
      </c>
      <c r="F13" s="4" t="n">
        <v>55</v>
      </c>
      <c r="G13" s="4" t="n">
        <v>7007</v>
      </c>
      <c r="H13" s="4" t="n">
        <v>1633</v>
      </c>
      <c r="I13" s="5" t="n">
        <v>750</v>
      </c>
      <c r="J13" s="5">
        <f>H13*I13</f>
        <v/>
      </c>
      <c r="K13" s="7" t="inlineStr">
        <is>
          <t>CRÍTICO: Liquidar Inmediato (Riesgo Merma Total)</t>
        </is>
      </c>
      <c r="L13" s="7" t="inlineStr">
        <is>
          <t>Activar 30% descuento promocional o transferir 1633 u. a sucursales Metro de alto flujo.</t>
        </is>
      </c>
    </row>
    <row r="14">
      <c r="A14" s="7" t="inlineStr">
        <is>
          <t>BTC-1059</t>
        </is>
      </c>
      <c r="B14" s="7" t="inlineStr">
        <is>
          <t>FOD-SAU-FRK-HOT</t>
        </is>
      </c>
      <c r="C14" s="7" t="inlineStr">
        <is>
          <t>Frank's RedHot Original Cayenne Pepper Sauce 354ml</t>
        </is>
      </c>
      <c r="D14" s="4" t="n">
        <v>2520</v>
      </c>
      <c r="E14" s="3" t="inlineStr">
        <is>
          <t>2026-11-25</t>
        </is>
      </c>
      <c r="F14" s="4" t="n">
        <v>56</v>
      </c>
      <c r="G14" s="4" t="n">
        <v>1998</v>
      </c>
      <c r="H14" s="4" t="n">
        <v>522</v>
      </c>
      <c r="I14" s="5" t="n">
        <v>2150</v>
      </c>
      <c r="J14" s="5">
        <f>H14*I14</f>
        <v/>
      </c>
      <c r="K14" s="7" t="inlineStr">
        <is>
          <t>CRÍTICO: Liquidar Inmediato (Riesgo Merma Total)</t>
        </is>
      </c>
      <c r="L14" s="7" t="inlineStr">
        <is>
          <t>Activar 30% descuento promocional o transferir 522 u. a sucursales Metro de alto flujo.</t>
        </is>
      </c>
    </row>
    <row r="15">
      <c r="A15" s="7" t="inlineStr">
        <is>
          <t>BTC-1016</t>
        </is>
      </c>
      <c r="B15" s="7" t="inlineStr">
        <is>
          <t>FOD-SNK-CMB-PIZ</t>
        </is>
      </c>
      <c r="C15" s="7" t="inlineStr">
        <is>
          <t>Combos Pizzeria Pretzel Baked Snacks 178g</t>
        </is>
      </c>
      <c r="D15" s="4" t="n">
        <v>2430</v>
      </c>
      <c r="E15" s="3" t="inlineStr">
        <is>
          <t>2026-11-28</t>
        </is>
      </c>
      <c r="F15" s="4" t="n">
        <v>59</v>
      </c>
      <c r="G15" s="4" t="n">
        <v>2128</v>
      </c>
      <c r="H15" s="4" t="n">
        <v>302</v>
      </c>
      <c r="I15" s="5" t="n">
        <v>1800</v>
      </c>
      <c r="J15" s="5">
        <f>H15*I15</f>
        <v/>
      </c>
      <c r="K15" s="7" t="inlineStr">
        <is>
          <t>CRÍTICO: Liquidar Inmediato (Riesgo Merma Total)</t>
        </is>
      </c>
      <c r="L15" s="7" t="inlineStr">
        <is>
          <t>Activar 30% descuento promocional o transferir 302 u. a sucursales Metro de alto flujo.</t>
        </is>
      </c>
    </row>
    <row r="16">
      <c r="A16" s="7" t="inlineStr">
        <is>
          <t>BTC-1004</t>
        </is>
      </c>
      <c r="B16" s="7" t="inlineStr">
        <is>
          <t>FOD-SNK-CHTS-JAL</t>
        </is>
      </c>
      <c r="C16" s="7" t="inlineStr">
        <is>
          <t>Cheetos Crunchy Cheddar Jalapeño 226g</t>
        </is>
      </c>
      <c r="D16" s="4" t="n">
        <v>864</v>
      </c>
      <c r="E16" s="3" t="inlineStr">
        <is>
          <t>2026-11-26</t>
        </is>
      </c>
      <c r="F16" s="4" t="n">
        <v>57</v>
      </c>
      <c r="G16" s="4" t="n">
        <v>5785</v>
      </c>
      <c r="H16" s="4" t="n">
        <v>0</v>
      </c>
      <c r="I16" s="5" t="n">
        <v>2000</v>
      </c>
      <c r="J16" s="5">
        <f>H16*I16</f>
        <v/>
      </c>
      <c r="K16" s="7" t="inlineStr">
        <is>
          <t>ALERTA: Priorizar Despacho FEFO a Tiendas Top</t>
        </is>
      </c>
      <c r="L16" s="7" t="inlineStr">
        <is>
          <t>Bloquear despacho de lotes más nuevos; forzar salida prioritaria FEFO a Providencia y Las Condes.</t>
        </is>
      </c>
    </row>
    <row r="17">
      <c r="A17" s="7" t="inlineStr">
        <is>
          <t>BTC-1012</t>
        </is>
      </c>
      <c r="B17" s="7" t="inlineStr">
        <is>
          <t>FOD-SNK-PRG-PIZ</t>
        </is>
      </c>
      <c r="C17" s="7" t="inlineStr">
        <is>
          <t>Pringles Pizza Flavored Potato Crisps 158g</t>
        </is>
      </c>
      <c r="D17" s="4" t="n">
        <v>1568</v>
      </c>
      <c r="E17" s="3" t="inlineStr">
        <is>
          <t>2026-11-26</t>
        </is>
      </c>
      <c r="F17" s="4" t="n">
        <v>57</v>
      </c>
      <c r="G17" s="4" t="n">
        <v>2041</v>
      </c>
      <c r="H17" s="4" t="n">
        <v>0</v>
      </c>
      <c r="I17" s="5" t="n">
        <v>2000</v>
      </c>
      <c r="J17" s="5">
        <f>H17*I17</f>
        <v/>
      </c>
      <c r="K17" s="7" t="inlineStr">
        <is>
          <t>ALERTA: Priorizar Despacho FEFO a Tiendas Top</t>
        </is>
      </c>
      <c r="L17" s="7" t="inlineStr">
        <is>
          <t>Bloquear despacho de lotes más nuevos; forzar salida prioritaria FEFO a Providencia y Las Condes.</t>
        </is>
      </c>
    </row>
    <row r="18">
      <c r="A18" s="7" t="inlineStr">
        <is>
          <t>BTC-1025</t>
        </is>
      </c>
      <c r="B18" s="7" t="inlineStr">
        <is>
          <t>FOD-BEV-MNST-AUS</t>
        </is>
      </c>
      <c r="C18" s="7" t="inlineStr">
        <is>
          <t>Monster Energy Aussie Style Lemonade 473ml</t>
        </is>
      </c>
      <c r="D18" s="4" t="n">
        <v>1440</v>
      </c>
      <c r="E18" s="3" t="inlineStr">
        <is>
          <t>2026-11-27</t>
        </is>
      </c>
      <c r="F18" s="4" t="n">
        <v>58</v>
      </c>
      <c r="G18" s="4" t="n">
        <v>5926</v>
      </c>
      <c r="H18" s="4" t="n">
        <v>0</v>
      </c>
      <c r="I18" s="5" t="n">
        <v>2000</v>
      </c>
      <c r="J18" s="5">
        <f>H18*I18</f>
        <v/>
      </c>
      <c r="K18" s="7" t="inlineStr">
        <is>
          <t>ALERTA: Priorizar Despacho FEFO a Tiendas Top</t>
        </is>
      </c>
      <c r="L18" s="7" t="inlineStr">
        <is>
          <t>Bloquear despacho de lotes más nuevos; forzar salida prioritaria FEFO a Providencia y Las Condes.</t>
        </is>
      </c>
    </row>
    <row r="19">
      <c r="A19" s="7" t="inlineStr">
        <is>
          <t>BTC-1061</t>
        </is>
      </c>
      <c r="B19" s="7" t="inlineStr">
        <is>
          <t>FOD-SAU-SBR-BBQ</t>
        </is>
      </c>
      <c r="C19" s="7" t="inlineStr">
        <is>
          <t>Sweet Baby Ray's Honey Barbecue Sauce 510g</t>
        </is>
      </c>
      <c r="D19" s="4" t="n">
        <v>2160</v>
      </c>
      <c r="E19" s="3" t="inlineStr">
        <is>
          <t>2026-11-28</t>
        </is>
      </c>
      <c r="F19" s="4" t="n">
        <v>59</v>
      </c>
      <c r="G19" s="4" t="n">
        <v>5883</v>
      </c>
      <c r="H19" s="4" t="n">
        <v>0</v>
      </c>
      <c r="I19" s="5" t="n">
        <v>2000</v>
      </c>
      <c r="J19" s="5">
        <f>H19*I19</f>
        <v/>
      </c>
      <c r="K19" s="7" t="inlineStr">
        <is>
          <t>ALERTA: Priorizar Despacho FEFO a Tiendas Top</t>
        </is>
      </c>
      <c r="L19" s="7" t="inlineStr">
        <is>
          <t>Bloquear despacho de lotes más nuevos; forzar salida prioritaria FEFO a Providencia y Las Condes.</t>
        </is>
      </c>
    </row>
    <row r="20">
      <c r="A20" s="7" t="inlineStr">
        <is>
          <t>BTC-1010</t>
        </is>
      </c>
      <c r="B20" s="7" t="inlineStr">
        <is>
          <t>FOD-SNK-PRG-SRC</t>
        </is>
      </c>
      <c r="C20" s="7" t="inlineStr">
        <is>
          <t>Pringles Sour Cream &amp; Onion USA 158g</t>
        </is>
      </c>
      <c r="D20" s="4" t="n">
        <v>784</v>
      </c>
      <c r="E20" s="3" t="inlineStr">
        <is>
          <t>2026-11-29</t>
        </is>
      </c>
      <c r="F20" s="4" t="n">
        <v>60</v>
      </c>
      <c r="G20" s="4" t="n">
        <v>6051</v>
      </c>
      <c r="H20" s="4" t="n">
        <v>0</v>
      </c>
      <c r="I20" s="5" t="n">
        <v>2000</v>
      </c>
      <c r="J20" s="5">
        <f>H20*I20</f>
        <v/>
      </c>
      <c r="K20" s="7" t="inlineStr">
        <is>
          <t>ALERTA: Priorizar Despacho FEFO a Tiendas Top</t>
        </is>
      </c>
      <c r="L20" s="7" t="inlineStr">
        <is>
          <t>Bloquear despacho de lotes más nuevos; forzar salida prioritaria FEFO a Providencia y Las Condes.</t>
        </is>
      </c>
    </row>
    <row r="21">
      <c r="A21" s="7" t="inlineStr">
        <is>
          <t>BTC-1035</t>
        </is>
      </c>
      <c r="B21" s="7" t="inlineStr">
        <is>
          <t>FOD-SNK-REESE-42G</t>
        </is>
      </c>
      <c r="C21" s="7" t="inlineStr">
        <is>
          <t>Reese's Peanut Butter Cups 2-Pack 42g</t>
        </is>
      </c>
      <c r="D21" s="4" t="n">
        <v>2880</v>
      </c>
      <c r="E21" s="3" t="inlineStr">
        <is>
          <t>2026-11-29</t>
        </is>
      </c>
      <c r="F21" s="4" t="n">
        <v>60</v>
      </c>
      <c r="G21" s="4" t="n">
        <v>7662</v>
      </c>
      <c r="H21" s="4" t="n">
        <v>0</v>
      </c>
      <c r="I21" s="5" t="n">
        <v>2000</v>
      </c>
      <c r="J21" s="5">
        <f>H21*I21</f>
        <v/>
      </c>
      <c r="K21" s="7" t="inlineStr">
        <is>
          <t>ALERTA: Priorizar Despacho FEFO a Tiendas Top</t>
        </is>
      </c>
      <c r="L21" s="7" t="inlineStr">
        <is>
          <t>Bloquear despacho de lotes más nuevos; forzar salida prioritaria FEFO a Providencia y Las Condes.</t>
        </is>
      </c>
    </row>
    <row r="22">
      <c r="A22" s="7" t="inlineStr">
        <is>
          <t>BTC-1019</t>
        </is>
      </c>
      <c r="B22" s="7" t="inlineStr">
        <is>
          <t>FOD-BEV-DRPEP-355</t>
        </is>
      </c>
      <c r="C22" s="7" t="inlineStr">
        <is>
          <t>Dr Pepper Cherry Soda Lata 355ml</t>
        </is>
      </c>
      <c r="D22" s="4" t="n">
        <v>3456</v>
      </c>
      <c r="E22" s="3" t="inlineStr">
        <is>
          <t>2026-11-30</t>
        </is>
      </c>
      <c r="F22" s="4" t="n">
        <v>61</v>
      </c>
      <c r="G22" s="4" t="n">
        <v>6228</v>
      </c>
      <c r="H22" s="4" t="n">
        <v>0</v>
      </c>
      <c r="I22" s="5" t="n">
        <v>2000</v>
      </c>
      <c r="J22" s="5">
        <f>H22*I22</f>
        <v/>
      </c>
      <c r="K22" s="7" t="inlineStr">
        <is>
          <t>ALERTA: Priorizar Despacho FEFO a Tiendas Top</t>
        </is>
      </c>
      <c r="L22" s="7" t="inlineStr">
        <is>
          <t>Bloquear despacho de lotes más nuevos; forzar salida prioritaria FEFO a Providencia y Las Condes.</t>
        </is>
      </c>
    </row>
    <row r="23">
      <c r="A23" s="7" t="inlineStr">
        <is>
          <t>BTC-1041</t>
        </is>
      </c>
      <c r="B23" s="7" t="inlineStr">
        <is>
          <t>FOD-CHO-MM-PNT</t>
        </is>
      </c>
      <c r="C23" s="7" t="inlineStr">
        <is>
          <t>M&amp;M's Peanut Butter Chocolate Candies 46g</t>
        </is>
      </c>
      <c r="D23" s="4" t="n">
        <v>4320</v>
      </c>
      <c r="E23" s="3" t="inlineStr">
        <is>
          <t>2026-12-01</t>
        </is>
      </c>
      <c r="F23" s="4" t="n">
        <v>62</v>
      </c>
      <c r="G23" s="4" t="n">
        <v>7946</v>
      </c>
      <c r="H23" s="4" t="n">
        <v>0</v>
      </c>
      <c r="I23" s="5" t="n">
        <v>2000</v>
      </c>
      <c r="J23" s="5">
        <f>H23*I23</f>
        <v/>
      </c>
      <c r="K23" s="7" t="inlineStr">
        <is>
          <t>ALERTA: Priorizar Despacho FEFO a Tiendas Top</t>
        </is>
      </c>
      <c r="L23" s="7" t="inlineStr">
        <is>
          <t>Bloquear despacho de lotes más nuevos; forzar salida prioritaria FEFO a Providencia y Las Condes.</t>
        </is>
      </c>
    </row>
    <row r="24">
      <c r="A24" s="7" t="inlineStr">
        <is>
          <t>BTC-1055</t>
        </is>
      </c>
      <c r="B24" s="7" t="inlineStr">
        <is>
          <t>FOD-GRO-KRAFT-206</t>
        </is>
      </c>
      <c r="C24" s="7" t="inlineStr">
        <is>
          <t>Kraft Macaroni &amp; Cheese Original Dinner 206g</t>
        </is>
      </c>
      <c r="D24" s="4" t="n">
        <v>3072</v>
      </c>
      <c r="E24" s="3" t="inlineStr">
        <is>
          <t>2026-12-06</t>
        </is>
      </c>
      <c r="F24" s="4" t="n">
        <v>67</v>
      </c>
      <c r="G24" s="4" t="n">
        <v>6738</v>
      </c>
      <c r="H24" s="4" t="n">
        <v>0</v>
      </c>
      <c r="I24" s="5" t="n">
        <v>2000</v>
      </c>
      <c r="J24" s="5">
        <f>H24*I24</f>
        <v/>
      </c>
      <c r="K24" s="7" t="inlineStr">
        <is>
          <t>ALERTA: Priorizar Despacho FEFO a Tiendas Top</t>
        </is>
      </c>
      <c r="L24" s="7" t="inlineStr">
        <is>
          <t>Bloquear despacho de lotes más nuevos; forzar salida prioritaria FEFO a Providencia y Las Condes.</t>
        </is>
      </c>
    </row>
    <row r="25">
      <c r="A25" s="7" t="inlineStr">
        <is>
          <t>BTC-1002</t>
        </is>
      </c>
      <c r="B25" s="7" t="inlineStr">
        <is>
          <t>FOD-SNK-CHTS-226</t>
        </is>
      </c>
      <c r="C25" s="7" t="inlineStr">
        <is>
          <t>Cheetos Flamin' Hot Crunchy USA 226g</t>
        </is>
      </c>
      <c r="D25" s="4" t="n">
        <v>864</v>
      </c>
      <c r="E25" s="3" t="inlineStr">
        <is>
          <t>2026-12-09</t>
        </is>
      </c>
      <c r="F25" s="4" t="n">
        <v>70</v>
      </c>
      <c r="G25" s="4" t="n">
        <v>7044</v>
      </c>
      <c r="H25" s="4" t="n">
        <v>0</v>
      </c>
      <c r="I25" s="5" t="n">
        <v>2000</v>
      </c>
      <c r="J25" s="5">
        <f>H25*I25</f>
        <v/>
      </c>
      <c r="K25" s="7" t="inlineStr">
        <is>
          <t>ALERTA: Priorizar Despacho FEFO a Tiendas Top</t>
        </is>
      </c>
      <c r="L25" s="7" t="inlineStr">
        <is>
          <t>Bloquear despacho de lotes más nuevos; forzar salida prioritaria FEFO a Providencia y Las Condes.</t>
        </is>
      </c>
    </row>
    <row r="26">
      <c r="A26" s="7" t="inlineStr">
        <is>
          <t>BTC-1023</t>
        </is>
      </c>
      <c r="B26" s="7" t="inlineStr">
        <is>
          <t>FOD-BEV-MNST-PCH</t>
        </is>
      </c>
      <c r="C26" s="7" t="inlineStr">
        <is>
          <t>Monster Energy Ultra Peachy Keen 473ml</t>
        </is>
      </c>
      <c r="D26" s="4" t="n">
        <v>2880</v>
      </c>
      <c r="E26" s="3" t="inlineStr">
        <is>
          <t>2026-12-09</t>
        </is>
      </c>
      <c r="F26" s="4" t="n">
        <v>70</v>
      </c>
      <c r="G26" s="4" t="n">
        <v>7164</v>
      </c>
      <c r="H26" s="4" t="n">
        <v>0</v>
      </c>
      <c r="I26" s="5" t="n">
        <v>2000</v>
      </c>
      <c r="J26" s="5">
        <f>H26*I26</f>
        <v/>
      </c>
      <c r="K26" s="7" t="inlineStr">
        <is>
          <t>ALERTA: Priorizar Despacho FEFO a Tiendas Top</t>
        </is>
      </c>
      <c r="L26" s="7" t="inlineStr">
        <is>
          <t>Bloquear despacho de lotes más nuevos; forzar salida prioritaria FEFO a Providencia y Las Condes.</t>
        </is>
      </c>
    </row>
    <row r="27">
      <c r="A27" s="7" t="inlineStr">
        <is>
          <t>BTC-1031</t>
        </is>
      </c>
      <c r="B27" s="7" t="inlineStr">
        <is>
          <t>FOD-BEV-ARZ-GRN</t>
        </is>
      </c>
      <c r="C27" s="7" t="inlineStr">
        <is>
          <t>AriZona Green Tea with Ginseng &amp; Honey 680ml</t>
        </is>
      </c>
      <c r="D27" s="4" t="n">
        <v>3600</v>
      </c>
      <c r="E27" s="3" t="inlineStr">
        <is>
          <t>2026-12-09</t>
        </is>
      </c>
      <c r="F27" s="4" t="n">
        <v>70</v>
      </c>
      <c r="G27" s="4" t="n">
        <v>7132</v>
      </c>
      <c r="H27" s="4" t="n">
        <v>0</v>
      </c>
      <c r="I27" s="5" t="n">
        <v>2000</v>
      </c>
      <c r="J27" s="5">
        <f>H27*I27</f>
        <v/>
      </c>
      <c r="K27" s="7" t="inlineStr">
        <is>
          <t>ALERTA: Priorizar Despacho FEFO a Tiendas Top</t>
        </is>
      </c>
      <c r="L27" s="7" t="inlineStr">
        <is>
          <t>Bloquear despacho de lotes más nuevos; forzar salida prioritaria FEFO a Providencia y Las Condes.</t>
        </is>
      </c>
    </row>
    <row r="28">
      <c r="A28" s="7" t="inlineStr">
        <is>
          <t>BTC-1049</t>
        </is>
      </c>
      <c r="B28" s="7" t="inlineStr">
        <is>
          <t>FOD-BK-POPT-STR</t>
        </is>
      </c>
      <c r="C28" s="7" t="inlineStr">
        <is>
          <t>Pop-Tarts Frosted Strawberry Toaster Pastries 8pk 384g</t>
        </is>
      </c>
      <c r="D28" s="4" t="n">
        <v>576</v>
      </c>
      <c r="E28" s="3" t="inlineStr">
        <is>
          <t>2026-12-09</t>
        </is>
      </c>
      <c r="F28" s="4" t="n">
        <v>70</v>
      </c>
      <c r="G28" s="4" t="n">
        <v>8968</v>
      </c>
      <c r="H28" s="4" t="n">
        <v>0</v>
      </c>
      <c r="I28" s="5" t="n">
        <v>2000</v>
      </c>
      <c r="J28" s="5">
        <f>H28*I28</f>
        <v/>
      </c>
      <c r="K28" s="7" t="inlineStr">
        <is>
          <t>ALERTA: Priorizar Despacho FEFO a Tiendas Top</t>
        </is>
      </c>
      <c r="L28" s="7" t="inlineStr">
        <is>
          <t>Bloquear despacho de lotes más nuevos; forzar salida prioritaria FEFO a Providencia y Las Condes.</t>
        </is>
      </c>
    </row>
    <row r="29">
      <c r="A29" s="7" t="inlineStr">
        <is>
          <t>BTC-1014</t>
        </is>
      </c>
      <c r="B29" s="7" t="inlineStr">
        <is>
          <t>FOD-SNK-SNY-HNY</t>
        </is>
      </c>
      <c r="C29" s="7" t="inlineStr">
        <is>
          <t>Snyder's of Hanover Honey Mustard &amp; Onion Pretzel Pieces 240g</t>
        </is>
      </c>
      <c r="D29" s="4" t="n">
        <v>2304</v>
      </c>
      <c r="E29" s="3" t="inlineStr">
        <is>
          <t>2026-12-12</t>
        </is>
      </c>
      <c r="F29" s="4" t="n">
        <v>73</v>
      </c>
      <c r="G29" s="4" t="n">
        <v>2619</v>
      </c>
      <c r="H29" s="4" t="n">
        <v>0</v>
      </c>
      <c r="I29" s="5" t="n">
        <v>2000</v>
      </c>
      <c r="J29" s="5">
        <f>H29*I29</f>
        <v/>
      </c>
      <c r="K29" s="7" t="inlineStr">
        <is>
          <t>ALERTA: Priorizar Despacho FEFO a Tiendas Top</t>
        </is>
      </c>
      <c r="L29" s="7" t="inlineStr">
        <is>
          <t>Bloquear despacho de lotes más nuevos; forzar salida prioritaria FEFO a Providencia y Las Condes.</t>
        </is>
      </c>
    </row>
    <row r="30">
      <c r="A30" s="7" t="inlineStr">
        <is>
          <t>BTC-1047</t>
        </is>
      </c>
      <c r="B30" s="7" t="inlineStr">
        <is>
          <t>FOD-CND-NRD-ROP</t>
        </is>
      </c>
      <c r="C30" s="7" t="inlineStr">
        <is>
          <t>Nerds Rope Very Berry Candy 26g</t>
        </is>
      </c>
      <c r="D30" s="4" t="n">
        <v>2880</v>
      </c>
      <c r="E30" s="3" t="inlineStr">
        <is>
          <t>2026-12-14</t>
        </is>
      </c>
      <c r="F30" s="4" t="n">
        <v>75</v>
      </c>
      <c r="G30" s="4" t="n">
        <v>3458</v>
      </c>
      <c r="H30" s="4" t="n">
        <v>0</v>
      </c>
      <c r="I30" s="5" t="n">
        <v>2000</v>
      </c>
      <c r="J30" s="5">
        <f>H30*I30</f>
        <v/>
      </c>
      <c r="K30" s="7" t="inlineStr">
        <is>
          <t>ALERTA: Priorizar Despacho FEFO a Tiendas Top</t>
        </is>
      </c>
      <c r="L30" s="7" t="inlineStr">
        <is>
          <t>Bloquear despacho de lotes más nuevos; forzar salida prioritaria FEFO a Providencia y Las Condes.</t>
        </is>
      </c>
    </row>
    <row r="31">
      <c r="A31" s="7" t="inlineStr">
        <is>
          <t>BTC-1063</t>
        </is>
      </c>
      <c r="B31" s="7" t="inlineStr">
        <is>
          <t>FOD-SAU-HDN-RNC</t>
        </is>
      </c>
      <c r="C31" s="7" t="inlineStr">
        <is>
          <t>Hidden Valley The Original Ranch Dressing 473ml</t>
        </is>
      </c>
      <c r="D31" s="4" t="n">
        <v>2160</v>
      </c>
      <c r="E31" s="3" t="inlineStr">
        <is>
          <t>2026-12-15</t>
        </is>
      </c>
      <c r="F31" s="4" t="n">
        <v>76</v>
      </c>
      <c r="G31" s="4" t="n">
        <v>2712</v>
      </c>
      <c r="H31" s="4" t="n">
        <v>0</v>
      </c>
      <c r="I31" s="5" t="n">
        <v>2000</v>
      </c>
      <c r="J31" s="5">
        <f>H31*I31</f>
        <v/>
      </c>
      <c r="K31" s="7" t="inlineStr">
        <is>
          <t>ALERTA: Priorizar Despacho FEFO a Tiendas Top</t>
        </is>
      </c>
      <c r="L31" s="7" t="inlineStr">
        <is>
          <t>Bloquear despacho de lotes más nuevos; forzar salida prioritaria FEFO a Providencia y Las Condes.</t>
        </is>
      </c>
    </row>
    <row r="32">
      <c r="A32" s="7" t="inlineStr">
        <is>
          <t>BTC-1021</t>
        </is>
      </c>
      <c r="B32" s="7" t="inlineStr">
        <is>
          <t>FOD-BEV-DRP-REG</t>
        </is>
      </c>
      <c r="C32" s="7" t="inlineStr">
        <is>
          <t>Dr Pepper Original 23 Flavors Lata 355ml</t>
        </is>
      </c>
      <c r="D32" s="4" t="n">
        <v>1728</v>
      </c>
      <c r="E32" s="3" t="inlineStr">
        <is>
          <t>2026-12-17</t>
        </is>
      </c>
      <c r="F32" s="4" t="n">
        <v>78</v>
      </c>
      <c r="G32" s="4" t="n">
        <v>8042</v>
      </c>
      <c r="H32" s="4" t="n">
        <v>0</v>
      </c>
      <c r="I32" s="5" t="n">
        <v>2000</v>
      </c>
      <c r="J32" s="5">
        <f>H32*I32</f>
        <v/>
      </c>
      <c r="K32" s="7" t="inlineStr">
        <is>
          <t>ALERTA: Priorizar Despacho FEFO a Tiendas Top</t>
        </is>
      </c>
      <c r="L32" s="7" t="inlineStr">
        <is>
          <t>Bloquear despacho de lotes más nuevos; forzar salida prioritaria FEFO a Providencia y Las Condes.</t>
        </is>
      </c>
    </row>
    <row r="33">
      <c r="A33" s="7" t="inlineStr">
        <is>
          <t>BTC-1006</t>
        </is>
      </c>
      <c r="B33" s="7" t="inlineStr">
        <is>
          <t>FOD-SNK-DOR-CLR</t>
        </is>
      </c>
      <c r="C33" s="7" t="inlineStr">
        <is>
          <t>Doritos Cool Ranch Flavored Tortilla Chips 262g</t>
        </is>
      </c>
      <c r="D33" s="4" t="n">
        <v>1280</v>
      </c>
      <c r="E33" s="3" t="inlineStr">
        <is>
          <t>2026-12-20</t>
        </is>
      </c>
      <c r="F33" s="4" t="n">
        <v>81</v>
      </c>
      <c r="G33" s="4" t="n">
        <v>8146</v>
      </c>
      <c r="H33" s="4" t="n">
        <v>0</v>
      </c>
      <c r="I33" s="5" t="n">
        <v>2000</v>
      </c>
      <c r="J33" s="5">
        <f>H33*I33</f>
        <v/>
      </c>
      <c r="K33" s="7" t="inlineStr">
        <is>
          <t>ALERTA: Priorizar Despacho FEFO a Tiendas Top</t>
        </is>
      </c>
      <c r="L33" s="7" t="inlineStr">
        <is>
          <t>Bloquear despacho de lotes más nuevos; forzar salida prioritaria FEFO a Providencia y Las Condes.</t>
        </is>
      </c>
    </row>
    <row r="34">
      <c r="A34" s="7" t="inlineStr">
        <is>
          <t>BTC-1008</t>
        </is>
      </c>
      <c r="B34" s="7" t="inlineStr">
        <is>
          <t>FOD-SNK-TAK-FUE</t>
        </is>
      </c>
      <c r="C34" s="7" t="inlineStr">
        <is>
          <t>Takis Fuego Hot Chili Pepper &amp; Lime 280g</t>
        </is>
      </c>
      <c r="D34" s="4" t="n">
        <v>1600</v>
      </c>
      <c r="E34" s="3" t="inlineStr">
        <is>
          <t>2026-12-21</t>
        </is>
      </c>
      <c r="F34" s="4" t="n">
        <v>82</v>
      </c>
      <c r="G34" s="4" t="n">
        <v>8240</v>
      </c>
      <c r="H34" s="4" t="n">
        <v>0</v>
      </c>
      <c r="I34" s="5" t="n">
        <v>2000</v>
      </c>
      <c r="J34" s="5">
        <f>H34*I34</f>
        <v/>
      </c>
      <c r="K34" s="7" t="inlineStr">
        <is>
          <t>ALERTA: Priorizar Despacho FEFO a Tiendas Top</t>
        </is>
      </c>
      <c r="L34" s="7" t="inlineStr">
        <is>
          <t>Bloquear despacho de lotes más nuevos; forzar salida prioritaria FEFO a Providencia y Las Condes.</t>
        </is>
      </c>
    </row>
    <row r="35">
      <c r="A35" s="7" t="inlineStr">
        <is>
          <t>BTC-1067</t>
        </is>
      </c>
      <c r="B35" s="7" t="inlineStr">
        <is>
          <t>FOD-SPR-SKP-PNT</t>
        </is>
      </c>
      <c r="C35" s="7" t="inlineStr">
        <is>
          <t>Skippy Creamy Peanut Butter USA 462g</t>
        </is>
      </c>
      <c r="D35" s="4" t="n">
        <v>720</v>
      </c>
      <c r="E35" s="3" t="inlineStr">
        <is>
          <t>2026-12-24</t>
        </is>
      </c>
      <c r="F35" s="4" t="n">
        <v>85</v>
      </c>
      <c r="G35" s="4" t="n">
        <v>3011</v>
      </c>
      <c r="H35" s="4" t="n">
        <v>0</v>
      </c>
      <c r="I35" s="5" t="n">
        <v>2000</v>
      </c>
      <c r="J35" s="5">
        <f>H35*I35</f>
        <v/>
      </c>
      <c r="K35" s="7" t="inlineStr">
        <is>
          <t>ALERTA: Priorizar Despacho FEFO a Tiendas Top</t>
        </is>
      </c>
      <c r="L35" s="7" t="inlineStr">
        <is>
          <t>Bloquear despacho de lotes más nuevos; forzar salida prioritaria FEFO a Providencia y Las Condes.</t>
        </is>
      </c>
    </row>
    <row r="36">
      <c r="A36" s="7" t="inlineStr">
        <is>
          <t>BTC-1051</t>
        </is>
      </c>
      <c r="B36" s="7" t="inlineStr">
        <is>
          <t>FOD-BK-POPT-BRN</t>
        </is>
      </c>
      <c r="C36" s="7" t="inlineStr">
        <is>
          <t>Pop-Tarts Frosted Brown Sugar Cinnamon 8pk 384g</t>
        </is>
      </c>
      <c r="D36" s="4" t="n">
        <v>1728</v>
      </c>
      <c r="E36" s="3" t="inlineStr">
        <is>
          <t>2026-12-25</t>
        </is>
      </c>
      <c r="F36" s="4" t="n">
        <v>86</v>
      </c>
      <c r="G36" s="4" t="n">
        <v>3957</v>
      </c>
      <c r="H36" s="4" t="n">
        <v>0</v>
      </c>
      <c r="I36" s="5" t="n">
        <v>2000</v>
      </c>
      <c r="J36" s="5">
        <f>H36*I36</f>
        <v/>
      </c>
      <c r="K36" s="7" t="inlineStr">
        <is>
          <t>ALERTA: Priorizar Despacho FEFO a Tiendas Top</t>
        </is>
      </c>
      <c r="L36" s="7" t="inlineStr">
        <is>
          <t>Bloquear despacho de lotes más nuevos; forzar salida prioritaria FEFO a Providencia y Las Condes.</t>
        </is>
      </c>
    </row>
    <row r="37">
      <c r="A37" s="7" t="inlineStr">
        <is>
          <t>BTC-1043</t>
        </is>
      </c>
      <c r="B37" s="7" t="inlineStr">
        <is>
          <t>FOD-CND-SOUR-99G</t>
        </is>
      </c>
      <c r="C37" s="7" t="inlineStr">
        <is>
          <t>Sour Patch Kids Theater Box 99g</t>
        </is>
      </c>
      <c r="D37" s="4" t="n">
        <v>3600</v>
      </c>
      <c r="E37" s="3" t="inlineStr">
        <is>
          <t>2026-12-26</t>
        </is>
      </c>
      <c r="F37" s="4" t="n">
        <v>87</v>
      </c>
      <c r="G37" s="4" t="n">
        <v>11404</v>
      </c>
      <c r="H37" s="4" t="n">
        <v>0</v>
      </c>
      <c r="I37" s="5" t="n">
        <v>2000</v>
      </c>
      <c r="J37" s="5">
        <f>H37*I37</f>
        <v/>
      </c>
      <c r="K37" s="7" t="inlineStr">
        <is>
          <t>ALERTA: Priorizar Despacho FEFO a Tiendas Top</t>
        </is>
      </c>
      <c r="L37" s="7" t="inlineStr">
        <is>
          <t>Bloquear despacho de lotes más nuevos; forzar salida prioritaria FEFO a Providencia y Las Condes.</t>
        </is>
      </c>
    </row>
    <row r="38">
      <c r="A38" s="7" t="inlineStr">
        <is>
          <t>BTC-1057</t>
        </is>
      </c>
      <c r="B38" s="7" t="inlineStr">
        <is>
          <t>FOD-GRO-KRAFT-DLX</t>
        </is>
      </c>
      <c r="C38" s="7" t="inlineStr">
        <is>
          <t>Kraft Deluxe Four Cheese Macaroni &amp; Cheese 397g</t>
        </is>
      </c>
      <c r="D38" s="4" t="n">
        <v>600</v>
      </c>
      <c r="E38" s="3" t="inlineStr">
        <is>
          <t>2026-12-27</t>
        </is>
      </c>
      <c r="F38" s="4" t="n">
        <v>88</v>
      </c>
      <c r="G38" s="4" t="n">
        <v>3139</v>
      </c>
      <c r="H38" s="4" t="n">
        <v>0</v>
      </c>
      <c r="I38" s="5" t="n">
        <v>2000</v>
      </c>
      <c r="J38" s="5">
        <f>H38*I38</f>
        <v/>
      </c>
      <c r="K38" s="7" t="inlineStr">
        <is>
          <t>ALERTA: Priorizar Despacho FEFO a Tiendas Top</t>
        </is>
      </c>
      <c r="L38" s="7" t="inlineStr">
        <is>
          <t>Bloquear despacho de lotes más nuevos; forzar salida prioritaria FEFO a Providencia y Las Condes.</t>
        </is>
      </c>
    </row>
    <row r="39">
      <c r="A39" s="7" t="inlineStr">
        <is>
          <t>BTC-1005</t>
        </is>
      </c>
      <c r="B39" s="7" t="inlineStr">
        <is>
          <t>FOD-SNK-DOR-CLR</t>
        </is>
      </c>
      <c r="C39" s="7" t="inlineStr">
        <is>
          <t>Doritos Cool Ranch Flavored Tortilla Chips 262g</t>
        </is>
      </c>
      <c r="D39" s="4" t="n">
        <v>1536</v>
      </c>
      <c r="E39" s="3" t="inlineStr">
        <is>
          <t>2027-03-15</t>
        </is>
      </c>
      <c r="F39" s="4" t="n">
        <v>166</v>
      </c>
      <c r="G39" s="4" t="n">
        <v>16696</v>
      </c>
      <c r="H39" s="4" t="n">
        <v>0</v>
      </c>
      <c r="I39" s="5" t="n">
        <v>2000</v>
      </c>
      <c r="J39" s="5">
        <f>H39*I39</f>
        <v/>
      </c>
      <c r="K39" s="7" t="inlineStr">
        <is>
          <t>SALUDABLE: Cobertura Conforme</t>
        </is>
      </c>
      <c r="L39" s="7" t="inlineStr">
        <is>
          <t>Flujo normal de abastecimiento CD a tiendas.</t>
        </is>
      </c>
    </row>
    <row r="40">
      <c r="A40" s="7" t="inlineStr">
        <is>
          <t>BTC-1001</t>
        </is>
      </c>
      <c r="B40" s="7" t="inlineStr">
        <is>
          <t>FOD-SNK-CHTS-226</t>
        </is>
      </c>
      <c r="C40" s="7" t="inlineStr">
        <is>
          <t>Cheetos Flamin' Hot Crunchy USA 226g</t>
        </is>
      </c>
      <c r="D40" s="4" t="n">
        <v>2764</v>
      </c>
      <c r="E40" s="3" t="inlineStr">
        <is>
          <t>2027-04-28</t>
        </is>
      </c>
      <c r="F40" s="4" t="n">
        <v>210</v>
      </c>
      <c r="G40" s="4" t="n">
        <v>21133</v>
      </c>
      <c r="H40" s="4" t="n">
        <v>0</v>
      </c>
      <c r="I40" s="5" t="n">
        <v>2000</v>
      </c>
      <c r="J40" s="5">
        <f>H40*I40</f>
        <v/>
      </c>
      <c r="K40" s="7" t="inlineStr">
        <is>
          <t>SALUDABLE: Cobertura Conforme</t>
        </is>
      </c>
      <c r="L40" s="7" t="inlineStr">
        <is>
          <t>Flujo normal de abastecimiento CD a tiendas.</t>
        </is>
      </c>
    </row>
    <row r="41">
      <c r="A41" s="7" t="inlineStr">
        <is>
          <t>BTC-1003</t>
        </is>
      </c>
      <c r="B41" s="7" t="inlineStr">
        <is>
          <t>FOD-SNK-CHTS-JAL</t>
        </is>
      </c>
      <c r="C41" s="7" t="inlineStr">
        <is>
          <t>Cheetos Crunchy Cheddar Jalapeño 226g</t>
        </is>
      </c>
      <c r="D41" s="4" t="n">
        <v>3456</v>
      </c>
      <c r="E41" s="3" t="inlineStr">
        <is>
          <t>2027-05-03</t>
        </is>
      </c>
      <c r="F41" s="4" t="n">
        <v>215</v>
      </c>
      <c r="G41" s="4" t="n">
        <v>21821</v>
      </c>
      <c r="H41" s="4" t="n">
        <v>0</v>
      </c>
      <c r="I41" s="5" t="n">
        <v>2000</v>
      </c>
      <c r="J41" s="5">
        <f>H41*I41</f>
        <v/>
      </c>
      <c r="K41" s="7" t="inlineStr">
        <is>
          <t>SALUDABLE: Cobertura Conforme</t>
        </is>
      </c>
      <c r="L41" s="7" t="inlineStr">
        <is>
          <t>Flujo normal de abastecimiento CD a tiendas.</t>
        </is>
      </c>
    </row>
    <row r="42">
      <c r="A42" s="7" t="inlineStr">
        <is>
          <t>BTC-1026</t>
        </is>
      </c>
      <c r="B42" s="7" t="inlineStr">
        <is>
          <t>FOD-BEV-MTN-DEW</t>
        </is>
      </c>
      <c r="C42" s="7" t="inlineStr">
        <is>
          <t>Mountain Dew Real Sugar Citrus Soda 355ml</t>
        </is>
      </c>
      <c r="D42" s="4" t="n">
        <v>5529</v>
      </c>
      <c r="E42" s="3" t="inlineStr">
        <is>
          <t>2027-05-06</t>
        </is>
      </c>
      <c r="F42" s="4" t="n">
        <v>218</v>
      </c>
      <c r="G42" s="4" t="n">
        <v>7845</v>
      </c>
      <c r="H42" s="4" t="n">
        <v>0</v>
      </c>
      <c r="I42" s="5" t="n">
        <v>2000</v>
      </c>
      <c r="J42" s="5">
        <f>H42*I42</f>
        <v/>
      </c>
      <c r="K42" s="7" t="inlineStr">
        <is>
          <t>SALUDABLE: Cobertura Conforme</t>
        </is>
      </c>
      <c r="L42" s="7" t="inlineStr">
        <is>
          <t>Flujo normal de abastecimiento CD a tiendas.</t>
        </is>
      </c>
    </row>
    <row r="43">
      <c r="A43" s="7" t="inlineStr">
        <is>
          <t>BTC-1013</t>
        </is>
      </c>
      <c r="B43" s="7" t="inlineStr">
        <is>
          <t>FOD-SNK-SNY-HNY</t>
        </is>
      </c>
      <c r="C43" s="7" t="inlineStr">
        <is>
          <t>Snyder's of Hanover Honey Mustard &amp; Onion Pretzel Pieces 240g</t>
        </is>
      </c>
      <c r="D43" s="4" t="n">
        <v>1228</v>
      </c>
      <c r="E43" s="3" t="inlineStr">
        <is>
          <t>2027-05-15</t>
        </is>
      </c>
      <c r="F43" s="4" t="n">
        <v>227</v>
      </c>
      <c r="G43" s="4" t="n">
        <v>8144</v>
      </c>
      <c r="H43" s="4" t="n">
        <v>0</v>
      </c>
      <c r="I43" s="5" t="n">
        <v>2000</v>
      </c>
      <c r="J43" s="5">
        <f>H43*I43</f>
        <v/>
      </c>
      <c r="K43" s="7" t="inlineStr">
        <is>
          <t>SALUDABLE: Cobertura Conforme</t>
        </is>
      </c>
      <c r="L43" s="7" t="inlineStr">
        <is>
          <t>Flujo normal de abastecimiento CD a tiendas.</t>
        </is>
      </c>
    </row>
    <row r="44">
      <c r="A44" s="7" t="inlineStr">
        <is>
          <t>BTC-1007</t>
        </is>
      </c>
      <c r="B44" s="7" t="inlineStr">
        <is>
          <t>FOD-SNK-TAK-FUE</t>
        </is>
      </c>
      <c r="C44" s="7" t="inlineStr">
        <is>
          <t>Takis Fuego Hot Chili Pepper &amp; Lime 280g</t>
        </is>
      </c>
      <c r="D44" s="4" t="n">
        <v>1920</v>
      </c>
      <c r="E44" s="3" t="inlineStr">
        <is>
          <t>2027-05-18</t>
        </is>
      </c>
      <c r="F44" s="4" t="n">
        <v>230</v>
      </c>
      <c r="G44" s="4" t="n">
        <v>23113</v>
      </c>
      <c r="H44" s="4" t="n">
        <v>0</v>
      </c>
      <c r="I44" s="5" t="n">
        <v>2000</v>
      </c>
      <c r="J44" s="5">
        <f>H44*I44</f>
        <v/>
      </c>
      <c r="K44" s="7" t="inlineStr">
        <is>
          <t>SALUDABLE: Cobertura Conforme</t>
        </is>
      </c>
      <c r="L44" s="7" t="inlineStr">
        <is>
          <t>Flujo normal de abastecimiento CD a tiendas.</t>
        </is>
      </c>
    </row>
    <row r="45">
      <c r="A45" s="7" t="inlineStr">
        <is>
          <t>BTC-1062</t>
        </is>
      </c>
      <c r="B45" s="7" t="inlineStr">
        <is>
          <t>FOD-SAU-HDN-RNC</t>
        </is>
      </c>
      <c r="C45" s="7" t="inlineStr">
        <is>
          <t>Hidden Valley The Original Ranch Dressing 473ml</t>
        </is>
      </c>
      <c r="D45" s="4" t="n">
        <v>1152</v>
      </c>
      <c r="E45" s="3" t="inlineStr">
        <is>
          <t>2027-05-29</t>
        </is>
      </c>
      <c r="F45" s="4" t="n">
        <v>241</v>
      </c>
      <c r="G45" s="4" t="n">
        <v>8600</v>
      </c>
      <c r="H45" s="4" t="n">
        <v>0</v>
      </c>
      <c r="I45" s="5" t="n">
        <v>2000</v>
      </c>
      <c r="J45" s="5">
        <f>H45*I45</f>
        <v/>
      </c>
      <c r="K45" s="7" t="inlineStr">
        <is>
          <t>SALUDABLE: Cobertura Conforme</t>
        </is>
      </c>
      <c r="L45" s="7" t="inlineStr">
        <is>
          <t>Flujo normal de abastecimiento CD a tiendas.</t>
        </is>
      </c>
    </row>
    <row r="46">
      <c r="A46" s="7" t="inlineStr">
        <is>
          <t>BTC-1040</t>
        </is>
      </c>
      <c r="B46" s="7" t="inlineStr">
        <is>
          <t>FOD-CHO-MM-PNT</t>
        </is>
      </c>
      <c r="C46" s="7" t="inlineStr">
        <is>
          <t>M&amp;M's Peanut Butter Chocolate Candies 46g</t>
        </is>
      </c>
      <c r="D46" s="4" t="n">
        <v>6912</v>
      </c>
      <c r="E46" s="3" t="inlineStr">
        <is>
          <t>2027-06-02</t>
        </is>
      </c>
      <c r="F46" s="4" t="n">
        <v>245</v>
      </c>
      <c r="G46" s="4" t="n">
        <v>31401</v>
      </c>
      <c r="H46" s="4" t="n">
        <v>0</v>
      </c>
      <c r="I46" s="5" t="n">
        <v>2000</v>
      </c>
      <c r="J46" s="5">
        <f>H46*I46</f>
        <v/>
      </c>
      <c r="K46" s="7" t="inlineStr">
        <is>
          <t>SALUDABLE: Cobertura Conforme</t>
        </is>
      </c>
      <c r="L46" s="7" t="inlineStr">
        <is>
          <t>Flujo normal de abastecimiento CD a tiendas.</t>
        </is>
      </c>
    </row>
    <row r="47">
      <c r="A47" s="7" t="inlineStr">
        <is>
          <t>BTC-1048</t>
        </is>
      </c>
      <c r="B47" s="7" t="inlineStr">
        <is>
          <t>FOD-BK-POPT-STR</t>
        </is>
      </c>
      <c r="C47" s="7" t="inlineStr">
        <is>
          <t>Pop-Tarts Frosted Strawberry Toaster Pastries 8pk 384g</t>
        </is>
      </c>
      <c r="D47" s="4" t="n">
        <v>1843</v>
      </c>
      <c r="E47" s="3" t="inlineStr">
        <is>
          <t>2027-06-02</t>
        </is>
      </c>
      <c r="F47" s="4" t="n">
        <v>245</v>
      </c>
      <c r="G47" s="4" t="n">
        <v>31389</v>
      </c>
      <c r="H47" s="4" t="n">
        <v>0</v>
      </c>
      <c r="I47" s="5" t="n">
        <v>2000</v>
      </c>
      <c r="J47" s="5">
        <f>H47*I47</f>
        <v/>
      </c>
      <c r="K47" s="7" t="inlineStr">
        <is>
          <t>SALUDABLE: Cobertura Conforme</t>
        </is>
      </c>
      <c r="L47" s="7" t="inlineStr">
        <is>
          <t>Flujo normal de abastecimiento CD a tiendas.</t>
        </is>
      </c>
    </row>
    <row r="48">
      <c r="A48" s="7" t="inlineStr">
        <is>
          <t>BTC-1053</t>
        </is>
      </c>
      <c r="B48" s="7" t="inlineStr">
        <is>
          <t>FOD-CND-TWZ-STR</t>
        </is>
      </c>
      <c r="C48" s="7" t="inlineStr">
        <is>
          <t>Twizzlers Strawberry Twists Chewy Candy 198g</t>
        </is>
      </c>
      <c r="D48" s="4" t="n">
        <v>1728</v>
      </c>
      <c r="E48" s="3" t="inlineStr">
        <is>
          <t>2027-06-03</t>
        </is>
      </c>
      <c r="F48" s="4" t="n">
        <v>246</v>
      </c>
      <c r="G48" s="4" t="n">
        <v>2450</v>
      </c>
      <c r="H48" s="4" t="n">
        <v>0</v>
      </c>
      <c r="I48" s="5" t="n">
        <v>2000</v>
      </c>
      <c r="J48" s="5">
        <f>H48*I48</f>
        <v/>
      </c>
      <c r="K48" s="7" t="inlineStr">
        <is>
          <t>SALUDABLE: Cobertura Conforme</t>
        </is>
      </c>
      <c r="L48" s="7" t="inlineStr">
        <is>
          <t>Flujo normal de abastecimiento CD a tiendas.</t>
        </is>
      </c>
    </row>
    <row r="49">
      <c r="A49" s="7" t="inlineStr">
        <is>
          <t>BTC-1009</t>
        </is>
      </c>
      <c r="B49" s="7" t="inlineStr">
        <is>
          <t>FOD-SNK-PRG-SRC</t>
        </is>
      </c>
      <c r="C49" s="7" t="inlineStr">
        <is>
          <t>Pringles Sour Cream &amp; Onion USA 158g</t>
        </is>
      </c>
      <c r="D49" s="4" t="n">
        <v>1254</v>
      </c>
      <c r="E49" s="3" t="inlineStr">
        <is>
          <t>2027-06-05</t>
        </is>
      </c>
      <c r="F49" s="4" t="n">
        <v>248</v>
      </c>
      <c r="G49" s="4" t="n">
        <v>25011</v>
      </c>
      <c r="H49" s="4" t="n">
        <v>0</v>
      </c>
      <c r="I49" s="5" t="n">
        <v>2000</v>
      </c>
      <c r="J49" s="5">
        <f>H49*I49</f>
        <v/>
      </c>
      <c r="K49" s="7" t="inlineStr">
        <is>
          <t>SALUDABLE: Cobertura Conforme</t>
        </is>
      </c>
      <c r="L49" s="7" t="inlineStr">
        <is>
          <t>Flujo normal de abastecimiento CD a tiendas.</t>
        </is>
      </c>
    </row>
    <row r="50">
      <c r="A50" s="7" t="inlineStr">
        <is>
          <t>BTC-1015</t>
        </is>
      </c>
      <c r="B50" s="7" t="inlineStr">
        <is>
          <t>FOD-SNK-CMB-PIZ</t>
        </is>
      </c>
      <c r="C50" s="7" t="inlineStr">
        <is>
          <t>Combos Pizzeria Pretzel Baked Snacks 178g</t>
        </is>
      </c>
      <c r="D50" s="4" t="n">
        <v>1944</v>
      </c>
      <c r="E50" s="3" t="inlineStr">
        <is>
          <t>2027-06-05</t>
        </is>
      </c>
      <c r="F50" s="4" t="n">
        <v>248</v>
      </c>
      <c r="G50" s="4" t="n">
        <v>8945</v>
      </c>
      <c r="H50" s="4" t="n">
        <v>0</v>
      </c>
      <c r="I50" s="5" t="n">
        <v>2000</v>
      </c>
      <c r="J50" s="5">
        <f>H50*I50</f>
        <v/>
      </c>
      <c r="K50" s="7" t="inlineStr">
        <is>
          <t>SALUDABLE: Cobertura Conforme</t>
        </is>
      </c>
      <c r="L50" s="7" t="inlineStr">
        <is>
          <t>Flujo normal de abastecimiento CD a tiendas.</t>
        </is>
      </c>
    </row>
    <row r="51">
      <c r="A51" s="7" t="inlineStr">
        <is>
          <t>BTC-1034</t>
        </is>
      </c>
      <c r="B51" s="7" t="inlineStr">
        <is>
          <t>FOD-SNK-REESE-42G</t>
        </is>
      </c>
      <c r="C51" s="7" t="inlineStr">
        <is>
          <t>Reese's Peanut Butter Cups 2-Pack 42g</t>
        </is>
      </c>
      <c r="D51" s="4" t="n">
        <v>11520</v>
      </c>
      <c r="E51" s="3" t="inlineStr">
        <is>
          <t>2027-06-10</t>
        </is>
      </c>
      <c r="F51" s="4" t="n">
        <v>253</v>
      </c>
      <c r="G51" s="4" t="n">
        <v>32309</v>
      </c>
      <c r="H51" s="4" t="n">
        <v>0</v>
      </c>
      <c r="I51" s="5" t="n">
        <v>2000</v>
      </c>
      <c r="J51" s="5">
        <f>H51*I51</f>
        <v/>
      </c>
      <c r="K51" s="7" t="inlineStr">
        <is>
          <t>SALUDABLE: Cobertura Conforme</t>
        </is>
      </c>
      <c r="L51" s="7" t="inlineStr">
        <is>
          <t>Flujo normal de abastecimiento CD a tiendas.</t>
        </is>
      </c>
    </row>
    <row r="52">
      <c r="A52" s="7" t="inlineStr">
        <is>
          <t>BTC-1054</t>
        </is>
      </c>
      <c r="B52" s="7" t="inlineStr">
        <is>
          <t>FOD-GRO-KRAFT-206</t>
        </is>
      </c>
      <c r="C52" s="7" t="inlineStr">
        <is>
          <t>Kraft Macaroni &amp; Cheese Original Dinner 206g</t>
        </is>
      </c>
      <c r="D52" s="4" t="n">
        <v>3686</v>
      </c>
      <c r="E52" s="3" t="inlineStr">
        <is>
          <t>2027-06-13</t>
        </is>
      </c>
      <c r="F52" s="4" t="n">
        <v>256</v>
      </c>
      <c r="G52" s="4" t="n">
        <v>25748</v>
      </c>
      <c r="H52" s="4" t="n">
        <v>0</v>
      </c>
      <c r="I52" s="5" t="n">
        <v>2000</v>
      </c>
      <c r="J52" s="5">
        <f>H52*I52</f>
        <v/>
      </c>
      <c r="K52" s="7" t="inlineStr">
        <is>
          <t>SALUDABLE: Cobertura Conforme</t>
        </is>
      </c>
      <c r="L52" s="7" t="inlineStr">
        <is>
          <t>Flujo normal de abastecimiento CD a tiendas.</t>
        </is>
      </c>
    </row>
    <row r="53">
      <c r="A53" s="7" t="inlineStr">
        <is>
          <t>BTC-1011</t>
        </is>
      </c>
      <c r="B53" s="7" t="inlineStr">
        <is>
          <t>FOD-SNK-PRG-PIZ</t>
        </is>
      </c>
      <c r="C53" s="7" t="inlineStr">
        <is>
          <t>Pringles Pizza Flavored Potato Crisps 158g</t>
        </is>
      </c>
      <c r="D53" s="4" t="n">
        <v>2508</v>
      </c>
      <c r="E53" s="3" t="inlineStr">
        <is>
          <t>2027-06-20</t>
        </is>
      </c>
      <c r="F53" s="4" t="n">
        <v>263</v>
      </c>
      <c r="G53" s="4" t="n">
        <v>9421</v>
      </c>
      <c r="H53" s="4" t="n">
        <v>0</v>
      </c>
      <c r="I53" s="5" t="n">
        <v>2000</v>
      </c>
      <c r="J53" s="5">
        <f>H53*I53</f>
        <v/>
      </c>
      <c r="K53" s="7" t="inlineStr">
        <is>
          <t>SALUDABLE: Cobertura Conforme</t>
        </is>
      </c>
      <c r="L53" s="7" t="inlineStr">
        <is>
          <t>Flujo normal de abastecimiento CD a tiendas.</t>
        </is>
      </c>
    </row>
    <row r="54">
      <c r="A54" s="7" t="inlineStr">
        <is>
          <t>BTC-1046</t>
        </is>
      </c>
      <c r="B54" s="7" t="inlineStr">
        <is>
          <t>FOD-CND-NRD-ROP</t>
        </is>
      </c>
      <c r="C54" s="7" t="inlineStr">
        <is>
          <t>Nerds Rope Very Berry Candy 26g</t>
        </is>
      </c>
      <c r="D54" s="4" t="n">
        <v>4608</v>
      </c>
      <c r="E54" s="3" t="inlineStr">
        <is>
          <t>2027-06-21</t>
        </is>
      </c>
      <c r="F54" s="4" t="n">
        <v>264</v>
      </c>
      <c r="G54" s="4" t="n">
        <v>12174</v>
      </c>
      <c r="H54" s="4" t="n">
        <v>0</v>
      </c>
      <c r="I54" s="5" t="n">
        <v>2000</v>
      </c>
      <c r="J54" s="5">
        <f>H54*I54</f>
        <v/>
      </c>
      <c r="K54" s="7" t="inlineStr">
        <is>
          <t>SALUDABLE: Cobertura Conforme</t>
        </is>
      </c>
      <c r="L54" s="7" t="inlineStr">
        <is>
          <t>Flujo normal de abastecimiento CD a tiendas.</t>
        </is>
      </c>
    </row>
    <row r="55">
      <c r="A55" s="7" t="inlineStr">
        <is>
          <t>BTC-1056</t>
        </is>
      </c>
      <c r="B55" s="7" t="inlineStr">
        <is>
          <t>FOD-GRO-KRAFT-DLX</t>
        </is>
      </c>
      <c r="C55" s="7" t="inlineStr">
        <is>
          <t>Kraft Deluxe Four Cheese Macaroni &amp; Cheese 397g</t>
        </is>
      </c>
      <c r="D55" s="4" t="n">
        <v>2400</v>
      </c>
      <c r="E55" s="3" t="inlineStr">
        <is>
          <t>2027-06-23</t>
        </is>
      </c>
      <c r="F55" s="4" t="n">
        <v>266</v>
      </c>
      <c r="G55" s="4" t="n">
        <v>9489</v>
      </c>
      <c r="H55" s="4" t="n">
        <v>0</v>
      </c>
      <c r="I55" s="5" t="n">
        <v>2000</v>
      </c>
      <c r="J55" s="5">
        <f>H55*I55</f>
        <v/>
      </c>
      <c r="K55" s="7" t="inlineStr">
        <is>
          <t>SALUDABLE: Cobertura Conforme</t>
        </is>
      </c>
      <c r="L55" s="7" t="inlineStr">
        <is>
          <t>Flujo normal de abastecimiento CD a tiendas.</t>
        </is>
      </c>
    </row>
    <row r="56">
      <c r="A56" s="7" t="inlineStr">
        <is>
          <t>BTC-1020</t>
        </is>
      </c>
      <c r="B56" s="7" t="inlineStr">
        <is>
          <t>FOD-BEV-DRP-REG</t>
        </is>
      </c>
      <c r="C56" s="7" t="inlineStr">
        <is>
          <t>Dr Pepper Original 23 Flavors Lata 355ml</t>
        </is>
      </c>
      <c r="D56" s="4" t="n">
        <v>4147</v>
      </c>
      <c r="E56" s="3" t="inlineStr">
        <is>
          <t>2027-06-27</t>
        </is>
      </c>
      <c r="F56" s="4" t="n">
        <v>270</v>
      </c>
      <c r="G56" s="4" t="n">
        <v>27839</v>
      </c>
      <c r="H56" s="4" t="n">
        <v>0</v>
      </c>
      <c r="I56" s="5" t="n">
        <v>2000</v>
      </c>
      <c r="J56" s="5">
        <f>H56*I56</f>
        <v/>
      </c>
      <c r="K56" s="7" t="inlineStr">
        <is>
          <t>SALUDABLE: Cobertura Conforme</t>
        </is>
      </c>
      <c r="L56" s="7" t="inlineStr">
        <is>
          <t>Flujo normal de abastecimiento CD a tiendas.</t>
        </is>
      </c>
    </row>
    <row r="57">
      <c r="A57" s="7" t="inlineStr">
        <is>
          <t>BTC-1038</t>
        </is>
      </c>
      <c r="B57" s="7" t="inlineStr">
        <is>
          <t>FOD-CHO-HERSH-CKC</t>
        </is>
      </c>
      <c r="C57" s="7" t="inlineStr">
        <is>
          <t>Hershey's Cookies 'n' Creme Candy Bar 43g</t>
        </is>
      </c>
      <c r="D57" s="4" t="n">
        <v>9216</v>
      </c>
      <c r="E57" s="3" t="inlineStr">
        <is>
          <t>2027-07-07</t>
        </is>
      </c>
      <c r="F57" s="4" t="n">
        <v>280</v>
      </c>
      <c r="G57" s="4" t="n">
        <v>35674</v>
      </c>
      <c r="H57" s="4" t="n">
        <v>0</v>
      </c>
      <c r="I57" s="5" t="n">
        <v>2000</v>
      </c>
      <c r="J57" s="5">
        <f>H57*I57</f>
        <v/>
      </c>
      <c r="K57" s="7" t="inlineStr">
        <is>
          <t>SALUDABLE: Cobertura Conforme</t>
        </is>
      </c>
      <c r="L57" s="7" t="inlineStr">
        <is>
          <t>Flujo normal de abastecimiento CD a tiendas.</t>
        </is>
      </c>
    </row>
    <row r="58">
      <c r="A58" s="7" t="inlineStr">
        <is>
          <t>BTC-1066</t>
        </is>
      </c>
      <c r="B58" s="7" t="inlineStr">
        <is>
          <t>FOD-SPR-SKP-PNT</t>
        </is>
      </c>
      <c r="C58" s="7" t="inlineStr">
        <is>
          <t>Skippy Creamy Peanut Butter USA 462g</t>
        </is>
      </c>
      <c r="D58" s="4" t="n">
        <v>1728</v>
      </c>
      <c r="E58" s="3" t="inlineStr">
        <is>
          <t>2027-07-17</t>
        </is>
      </c>
      <c r="F58" s="4" t="n">
        <v>290</v>
      </c>
      <c r="G58" s="4" t="n">
        <v>10274</v>
      </c>
      <c r="H58" s="4" t="n">
        <v>0</v>
      </c>
      <c r="I58" s="5" t="n">
        <v>2000</v>
      </c>
      <c r="J58" s="5">
        <f>H58*I58</f>
        <v/>
      </c>
      <c r="K58" s="7" t="inlineStr">
        <is>
          <t>SALUDABLE: Cobertura Conforme</t>
        </is>
      </c>
      <c r="L58" s="7" t="inlineStr">
        <is>
          <t>Flujo normal de abastecimiento CD a tiendas.</t>
        </is>
      </c>
    </row>
    <row r="59">
      <c r="A59" s="7" t="inlineStr">
        <is>
          <t>BTC-1018</t>
        </is>
      </c>
      <c r="B59" s="7" t="inlineStr">
        <is>
          <t>FOD-BEV-DRPEP-355</t>
        </is>
      </c>
      <c r="C59" s="7" t="inlineStr">
        <is>
          <t>Dr Pepper Cherry Soda Lata 355ml</t>
        </is>
      </c>
      <c r="D59" s="4" t="n">
        <v>4147</v>
      </c>
      <c r="E59" s="3" t="inlineStr">
        <is>
          <t>2027-07-20</t>
        </is>
      </c>
      <c r="F59" s="4" t="n">
        <v>293</v>
      </c>
      <c r="G59" s="4" t="n">
        <v>29918</v>
      </c>
      <c r="H59" s="4" t="n">
        <v>0</v>
      </c>
      <c r="I59" s="5" t="n">
        <v>2000</v>
      </c>
      <c r="J59" s="5">
        <f>H59*I59</f>
        <v/>
      </c>
      <c r="K59" s="7" t="inlineStr">
        <is>
          <t>SALUDABLE: Cobertura Conforme</t>
        </is>
      </c>
      <c r="L59" s="7" t="inlineStr">
        <is>
          <t>Flujo normal de abastecimiento CD a tiendas.</t>
        </is>
      </c>
    </row>
    <row r="60">
      <c r="A60" s="7" t="inlineStr">
        <is>
          <t>BTC-1028</t>
        </is>
      </c>
      <c r="B60" s="7" t="inlineStr">
        <is>
          <t>FOD-BEV-AW-ROOT</t>
        </is>
      </c>
      <c r="C60" s="7" t="inlineStr">
        <is>
          <t>A&amp;W Root Beer Aged Vanilla Lata 355ml</t>
        </is>
      </c>
      <c r="D60" s="4" t="n">
        <v>4147</v>
      </c>
      <c r="E60" s="3" t="inlineStr">
        <is>
          <t>2027-07-28</t>
        </is>
      </c>
      <c r="F60" s="4" t="n">
        <v>301</v>
      </c>
      <c r="G60" s="4" t="n">
        <v>10940</v>
      </c>
      <c r="H60" s="4" t="n">
        <v>0</v>
      </c>
      <c r="I60" s="5" t="n">
        <v>2000</v>
      </c>
      <c r="J60" s="5">
        <f>H60*I60</f>
        <v/>
      </c>
      <c r="K60" s="7" t="inlineStr">
        <is>
          <t>SALUDABLE: Cobertura Conforme</t>
        </is>
      </c>
      <c r="L60" s="7" t="inlineStr">
        <is>
          <t>Flujo normal de abastecimiento CD a tiendas.</t>
        </is>
      </c>
    </row>
    <row r="61">
      <c r="A61" s="7" t="inlineStr">
        <is>
          <t>BTC-1050</t>
        </is>
      </c>
      <c r="B61" s="7" t="inlineStr">
        <is>
          <t>FOD-BK-POPT-BRN</t>
        </is>
      </c>
      <c r="C61" s="7" t="inlineStr">
        <is>
          <t>Pop-Tarts Frosted Brown Sugar Cinnamon 8pk 384g</t>
        </is>
      </c>
      <c r="D61" s="4" t="n">
        <v>921</v>
      </c>
      <c r="E61" s="3" t="inlineStr">
        <is>
          <t>2027-07-28</t>
        </is>
      </c>
      <c r="F61" s="4" t="n">
        <v>301</v>
      </c>
      <c r="G61" s="4" t="n">
        <v>13850</v>
      </c>
      <c r="H61" s="4" t="n">
        <v>0</v>
      </c>
      <c r="I61" s="5" t="n">
        <v>2000</v>
      </c>
      <c r="J61" s="5">
        <f>H61*I61</f>
        <v/>
      </c>
      <c r="K61" s="7" t="inlineStr">
        <is>
          <t>SALUDABLE: Cobertura Conforme</t>
        </is>
      </c>
      <c r="L61" s="7" t="inlineStr">
        <is>
          <t>Flujo normal de abastecimiento CD a tiendas.</t>
        </is>
      </c>
    </row>
    <row r="62">
      <c r="A62" s="7" t="inlineStr">
        <is>
          <t>BTC-1042</t>
        </is>
      </c>
      <c r="B62" s="7" t="inlineStr">
        <is>
          <t>FOD-CND-SOUR-99G</t>
        </is>
      </c>
      <c r="C62" s="7" t="inlineStr">
        <is>
          <t>Sour Patch Kids Theater Box 99g</t>
        </is>
      </c>
      <c r="D62" s="4" t="n">
        <v>3840</v>
      </c>
      <c r="E62" s="3" t="inlineStr">
        <is>
          <t>2027-08-02</t>
        </is>
      </c>
      <c r="F62" s="4" t="n">
        <v>306</v>
      </c>
      <c r="G62" s="4" t="n">
        <v>40113</v>
      </c>
      <c r="H62" s="4" t="n">
        <v>0</v>
      </c>
      <c r="I62" s="5" t="n">
        <v>2000</v>
      </c>
      <c r="J62" s="5">
        <f>H62*I62</f>
        <v/>
      </c>
      <c r="K62" s="7" t="inlineStr">
        <is>
          <t>SALUDABLE: Cobertura Conforme</t>
        </is>
      </c>
      <c r="L62" s="7" t="inlineStr">
        <is>
          <t>Flujo normal de abastecimiento CD a tiendas.</t>
        </is>
      </c>
    </row>
    <row r="63">
      <c r="A63" s="7" t="inlineStr">
        <is>
          <t>BTC-1044</t>
        </is>
      </c>
      <c r="B63" s="7" t="inlineStr">
        <is>
          <t>FOD-CND-SWD-FSH</t>
        </is>
      </c>
      <c r="C63" s="7" t="inlineStr">
        <is>
          <t>Swedish Fish Red Theater Box Candy 99g</t>
        </is>
      </c>
      <c r="D63" s="4" t="n">
        <v>2880</v>
      </c>
      <c r="E63" s="3" t="inlineStr">
        <is>
          <t>2027-10-09</t>
        </is>
      </c>
      <c r="F63" s="4" t="n">
        <v>374</v>
      </c>
      <c r="G63" s="4" t="n">
        <v>3810</v>
      </c>
      <c r="H63" s="4" t="n">
        <v>0</v>
      </c>
      <c r="I63" s="5" t="n">
        <v>2000</v>
      </c>
      <c r="J63" s="5">
        <f>H63*I63</f>
        <v/>
      </c>
      <c r="K63" s="7" t="inlineStr">
        <is>
          <t>SALUDABLE: Cobertura Conforme</t>
        </is>
      </c>
      <c r="L63" s="7" t="inlineStr">
        <is>
          <t>Flujo normal de abastecimiento CD a tiendas.</t>
        </is>
      </c>
    </row>
    <row r="64">
      <c r="A64" s="7" t="inlineStr">
        <is>
          <t>BTC-1060</t>
        </is>
      </c>
      <c r="B64" s="7" t="inlineStr">
        <is>
          <t>FOD-SAU-SBR-BBQ</t>
        </is>
      </c>
      <c r="C64" s="7" t="inlineStr">
        <is>
          <t>Sweet Baby Ray's Honey Barbecue Sauce 510g</t>
        </is>
      </c>
      <c r="D64" s="4" t="n">
        <v>1152</v>
      </c>
      <c r="E64" s="3" t="inlineStr">
        <is>
          <t>2027-10-10</t>
        </is>
      </c>
      <c r="F64" s="4" t="n">
        <v>375</v>
      </c>
      <c r="G64" s="4" t="n">
        <v>37392</v>
      </c>
      <c r="H64" s="4" t="n">
        <v>0</v>
      </c>
      <c r="I64" s="5" t="n">
        <v>2000</v>
      </c>
      <c r="J64" s="5">
        <f>H64*I64</f>
        <v/>
      </c>
      <c r="K64" s="7" t="inlineStr">
        <is>
          <t>SALUDABLE: Cobertura Conforme</t>
        </is>
      </c>
      <c r="L64" s="7" t="inlineStr">
        <is>
          <t>Flujo normal de abastecimiento CD a tiendas.</t>
        </is>
      </c>
    </row>
    <row r="65">
      <c r="A65" s="7" t="inlineStr">
        <is>
          <t>BTC-1064</t>
        </is>
      </c>
      <c r="B65" s="7" t="inlineStr">
        <is>
          <t>FOD-SAU-HNZ-MST</t>
        </is>
      </c>
      <c r="C65" s="7" t="inlineStr">
        <is>
          <t>Heinz Yellow Mustard Squeeze Bottle USA 396g</t>
        </is>
      </c>
      <c r="D65" s="4" t="n">
        <v>2496</v>
      </c>
      <c r="E65" s="3" t="inlineStr">
        <is>
          <t>2027-10-11</t>
        </is>
      </c>
      <c r="F65" s="4" t="n">
        <v>376</v>
      </c>
      <c r="G65" s="4" t="n">
        <v>2667</v>
      </c>
      <c r="H65" s="4" t="n">
        <v>0</v>
      </c>
      <c r="I65" s="5" t="n">
        <v>2000</v>
      </c>
      <c r="J65" s="5">
        <f>H65*I65</f>
        <v/>
      </c>
      <c r="K65" s="7" t="inlineStr">
        <is>
          <t>SALUDABLE: Cobertura Conforme</t>
        </is>
      </c>
      <c r="L65" s="7" t="inlineStr">
        <is>
          <t>Flujo normal de abastecimiento CD a tiendas.</t>
        </is>
      </c>
    </row>
    <row r="66">
      <c r="A66" s="7" t="inlineStr">
        <is>
          <t>BTC-1030</t>
        </is>
      </c>
      <c r="B66" s="7" t="inlineStr">
        <is>
          <t>FOD-BEV-ARZ-GRN</t>
        </is>
      </c>
      <c r="C66" s="7" t="inlineStr">
        <is>
          <t>AriZona Green Tea with Ginseng &amp; Honey 680ml</t>
        </is>
      </c>
      <c r="D66" s="4" t="n">
        <v>2880</v>
      </c>
      <c r="E66" s="3" t="inlineStr">
        <is>
          <t>2027-11-04</t>
        </is>
      </c>
      <c r="F66" s="4" t="n">
        <v>400</v>
      </c>
      <c r="G66" s="4" t="n">
        <v>40758</v>
      </c>
      <c r="H66" s="4" t="n">
        <v>0</v>
      </c>
      <c r="I66" s="5" t="n">
        <v>2000</v>
      </c>
      <c r="J66" s="5">
        <f>H66*I66</f>
        <v/>
      </c>
      <c r="K66" s="7" t="inlineStr">
        <is>
          <t>SALUDABLE: Cobertura Conforme</t>
        </is>
      </c>
      <c r="L66" s="7" t="inlineStr">
        <is>
          <t>Flujo normal de abastecimiento CD a tiendas.</t>
        </is>
      </c>
    </row>
    <row r="67">
      <c r="A67" s="7" t="inlineStr">
        <is>
          <t>BTC-1058</t>
        </is>
      </c>
      <c r="B67" s="7" t="inlineStr">
        <is>
          <t>FOD-SAU-FRK-HOT</t>
        </is>
      </c>
      <c r="C67" s="7" t="inlineStr">
        <is>
          <t>Frank's RedHot Original Cayenne Pepper Sauce 354ml</t>
        </is>
      </c>
      <c r="D67" s="4" t="n">
        <v>2688</v>
      </c>
      <c r="E67" s="3" t="inlineStr">
        <is>
          <t>2028-02-15</t>
        </is>
      </c>
      <c r="F67" s="4" t="n">
        <v>503</v>
      </c>
      <c r="G67" s="4" t="n">
        <v>17947</v>
      </c>
      <c r="H67" s="4" t="n">
        <v>0</v>
      </c>
      <c r="I67" s="5" t="n">
        <v>2000</v>
      </c>
      <c r="J67" s="5">
        <f>H67*I67</f>
        <v/>
      </c>
      <c r="K67" s="7" t="inlineStr">
        <is>
          <t>SALUDABLE: Cobertura Conforme</t>
        </is>
      </c>
      <c r="L67" s="7" t="inlineStr">
        <is>
          <t>Flujo normal de abastecimiento CD a tiendas.</t>
        </is>
      </c>
    </row>
    <row r="68">
      <c r="A68" s="7" t="inlineStr">
        <is>
          <t>BTC-1024</t>
        </is>
      </c>
      <c r="B68" s="7" t="inlineStr">
        <is>
          <t>FOD-BEV-MNST-AUS</t>
        </is>
      </c>
      <c r="C68" s="7" t="inlineStr">
        <is>
          <t>Monster Energy Aussie Style Lemonade 473ml</t>
        </is>
      </c>
      <c r="D68" s="4" t="n">
        <v>4608</v>
      </c>
      <c r="E68" s="3" t="inlineStr">
        <is>
          <t>2028-03-05</t>
        </is>
      </c>
      <c r="F68" s="4" t="n">
        <v>522</v>
      </c>
      <c r="G68" s="4" t="n">
        <v>53341</v>
      </c>
      <c r="H68" s="4" t="n">
        <v>0</v>
      </c>
      <c r="I68" s="5" t="n">
        <v>2000</v>
      </c>
      <c r="J68" s="5">
        <f>H68*I68</f>
        <v/>
      </c>
      <c r="K68" s="7" t="inlineStr">
        <is>
          <t>SALUDABLE: Cobertura Conforme</t>
        </is>
      </c>
      <c r="L68" s="7" t="inlineStr">
        <is>
          <t>Flujo normal de abastecimiento CD a tiendas.</t>
        </is>
      </c>
    </row>
    <row r="69">
      <c r="A69" s="7" t="inlineStr">
        <is>
          <t>BTC-1022</t>
        </is>
      </c>
      <c r="B69" s="7" t="inlineStr">
        <is>
          <t>FOD-BEV-MNST-PCH</t>
        </is>
      </c>
      <c r="C69" s="7" t="inlineStr">
        <is>
          <t>Monster Energy Ultra Peachy Keen 473ml</t>
        </is>
      </c>
      <c r="D69" s="4" t="n">
        <v>3456</v>
      </c>
      <c r="E69" s="3" t="inlineStr">
        <is>
          <t>2028-04-16</t>
        </is>
      </c>
      <c r="F69" s="4" t="n">
        <v>564</v>
      </c>
      <c r="G69" s="4" t="n">
        <v>57728</v>
      </c>
      <c r="H69" s="4" t="n">
        <v>0</v>
      </c>
      <c r="I69" s="5" t="n">
        <v>2000</v>
      </c>
      <c r="J69" s="5">
        <f>H69*I69</f>
        <v/>
      </c>
      <c r="K69" s="7" t="inlineStr">
        <is>
          <t>SALUDABLE: Cobertura Conforme</t>
        </is>
      </c>
      <c r="L69" s="7" t="inlineStr">
        <is>
          <t>Flujo normal de abastecimiento CD a tiendas.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2026-09-30T16:30:15Z</dcterms:created>
  <dcterms:modified xsi:type="dcterms:W3CDTF">2026-09-30T16:30:15Z</dcterms:modified>
</cp:coreProperties>
</file>